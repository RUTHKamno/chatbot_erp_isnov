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2"/>
    <sheet name="Légende et hypothès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<sst xmlns="http://schemas.openxmlformats.org/spreadsheetml/2006/main" count="483" uniqueCount="222">
  <si>
    <t xml:space="preserve">WBS et planning : Chatbot ERP multi-agents (LangGraph)</t>
  </si>
  <si>
    <t xml:space="preserve">Cellules en bleu = à modifier (durées, prédécesseurs, avancement, statut). Cellule jaune = date de début. Dates et Gantt se recalculent seuls.</t>
  </si>
  <si>
    <t xml:space="preserve">Date de début du projet (un lundi)</t>
  </si>
  <si>
    <t xml:space="preserve">Fin prévue</t>
  </si>
  <si>
    <t xml:space="preserve">Avancement global (pondéré par la durée)</t>
  </si>
  <si>
    <t xml:space="preserve">Charge totale (jours ouvrés, une personne)</t>
  </si>
  <si>
    <t xml:space="preserve">ID</t>
  </si>
  <si>
    <t xml:space="preserve">Type</t>
  </si>
  <si>
    <t xml:space="preserve">Tâche</t>
  </si>
  <si>
    <t xml:space="preserve">Durée (j ouvrés)</t>
  </si>
  <si>
    <t xml:space="preserve">Préd. 1</t>
  </si>
  <si>
    <t xml:space="preserve">Préd. 2</t>
  </si>
  <si>
    <t xml:space="preserve">Préd. 3</t>
  </si>
  <si>
    <t xml:space="preserve">Préd. 4</t>
  </si>
  <si>
    <t xml:space="preserve">Début</t>
  </si>
  <si>
    <t xml:space="preserve">Fin</t>
  </si>
  <si>
    <t xml:space="preserve">% avancement</t>
  </si>
  <si>
    <t xml:space="preserve">Statut</t>
  </si>
  <si>
    <t xml:space="preserve">Responsable</t>
  </si>
  <si>
    <t xml:space="preserve">Remarque</t>
  </si>
  <si>
    <t xml:space="preserve">P0</t>
  </si>
  <si>
    <t xml:space="preserve">Phase</t>
  </si>
  <si>
    <t xml:space="preserve">Phase 0 : Cadrage</t>
  </si>
  <si>
    <t xml:space="preserve">0.1</t>
  </si>
  <si>
    <t xml:space="preserve">Verrouiller le périmètre du MVP (Guide ERP seul)</t>
  </si>
  <si>
    <t xml:space="preserve">Terminé</t>
  </si>
  <si>
    <t xml:space="preserve">0.2</t>
  </si>
  <si>
    <t xml:space="preserve">Trancher le modèle audio (Whisper V3 Turbo ou Qwen2.5-VL)</t>
  </si>
  <si>
    <t xml:space="preserve">Les specs techniques et le tableau des agents divergent</t>
  </si>
  <si>
    <t xml:space="preserve">0.3</t>
  </si>
  <si>
    <t xml:space="preserve">Choisir LLM locaux ou API selon le GPU disponible</t>
  </si>
  <si>
    <t xml:space="preserve">0.4</t>
  </si>
  <si>
    <t xml:space="preserve">Définir l'intégration ERP (JWT, page courante, URL des écrans)</t>
  </si>
  <si>
    <t xml:space="preserve">0.5</t>
  </si>
  <si>
    <t xml:space="preserve">Figer le schéma du State LangGraph</t>
  </si>
  <si>
    <t xml:space="preserve">0.6</t>
  </si>
  <si>
    <t xml:space="preserve">Définir les critères d'acceptation (1,5 s, seuil 0,70, refus des injections)</t>
  </si>
  <si>
    <t xml:space="preserve">J0</t>
  </si>
  <si>
    <t xml:space="preserve">Jalon</t>
  </si>
  <si>
    <t xml:space="preserve">Jalon 0 : cadrage validé</t>
  </si>
  <si>
    <t xml:space="preserve">P1</t>
  </si>
  <si>
    <t xml:space="preserve">Phase 1 : Socle technique</t>
  </si>
  <si>
    <t xml:space="preserve">1.1</t>
  </si>
  <si>
    <t xml:space="preserve">Dépôt Git, environnement Python, structure du projet</t>
  </si>
  <si>
    <t xml:space="preserve">1.2</t>
  </si>
  <si>
    <t xml:space="preserve">Docker Compose (Redis, LanceDB, API)</t>
  </si>
  <si>
    <t xml:space="preserve">1.3</t>
  </si>
  <si>
    <t xml:space="preserve">Serveur de modèles (Ollama / vLLM) et test de charge VRAM/RAM</t>
  </si>
  <si>
    <t xml:space="preserve">1.4</t>
  </si>
  <si>
    <t xml:space="preserve">Squelette du graphe LangGraph (nœuds vides, arêtes conditionnelles)</t>
  </si>
  <si>
    <t xml:space="preserve">1.5</t>
  </si>
  <si>
    <t xml:space="preserve">Traçage (Langfuse / LangSmith)</t>
  </si>
  <si>
    <t xml:space="preserve">J1</t>
  </si>
  <si>
    <t xml:space="preserve">Jalon 1 : un message traverse le graphe</t>
  </si>
  <si>
    <t xml:space="preserve">P2</t>
  </si>
  <si>
    <t xml:space="preserve">Phase 2 : MVP Guide ERP</t>
  </si>
  <si>
    <t xml:space="preserve">2.1</t>
  </si>
  <si>
    <t xml:space="preserve">Groupe</t>
  </si>
  <si>
    <t xml:space="preserve">2.1 Base de connaissances</t>
  </si>
  <si>
    <t xml:space="preserve">2.1.1</t>
  </si>
  <si>
    <t xml:space="preserve">Collecter guides ERP, descriptions d'écrans et URL</t>
  </si>
  <si>
    <t xml:space="preserve">En cours</t>
  </si>
  <si>
    <t xml:space="preserve">Peut démarrer pendant la phase 1</t>
  </si>
  <si>
    <t xml:space="preserve">2.1.2</t>
  </si>
  <si>
    <t xml:space="preserve">Découper en chunks avec métadonnées (module, écran, rôle, URL)</t>
  </si>
  <si>
    <t xml:space="preserve">2.1.3</t>
  </si>
  <si>
    <t xml:space="preserve">Générer les embeddings et indexer dans LanceDB</t>
  </si>
  <si>
    <t xml:space="preserve">2.1.4</t>
  </si>
  <si>
    <t xml:space="preserve">Rédiger le fichier TXT des règles RBAC</t>
  </si>
  <si>
    <t xml:space="preserve">À faire</t>
  </si>
  <si>
    <t xml:space="preserve">2.1.5</t>
  </si>
  <si>
    <t xml:space="preserve">Construire le jeu de 50 à 100 questions de référence</t>
  </si>
  <si>
    <t xml:space="preserve">2.2</t>
  </si>
  <si>
    <t xml:space="preserve">2.2 Guide ERP (RAG)</t>
  </si>
  <si>
    <t xml:space="preserve">2.2.1</t>
  </si>
  <si>
    <t xml:space="preserve">Récupération vectorielle (25 à 50 documents)</t>
  </si>
  <si>
    <t xml:space="preserve">2.2.2</t>
  </si>
  <si>
    <t xml:space="preserve">Re-ranking (top_k 3 à 5, seuil 0,70)</t>
  </si>
  <si>
    <t xml:space="preserve">2.2.3</t>
  </si>
  <si>
    <t xml:space="preserve">Génération de la réponse (texte, lien direct, workflow Mermaid)</t>
  </si>
  <si>
    <t xml:space="preserve">2.2.4</t>
  </si>
  <si>
    <t xml:space="preserve">Évaluer le RAG sur le jeu de référence</t>
  </si>
  <si>
    <t xml:space="preserve">J2a</t>
  </si>
  <si>
    <t xml:space="preserve">Jalon : tranche verticale RAG validée</t>
  </si>
  <si>
    <t xml:space="preserve">Valider la qualité du RAG avant la sécurité</t>
  </si>
  <si>
    <t xml:space="preserve">2.2.5</t>
  </si>
  <si>
    <t xml:space="preserve">Agent Juge RBAC et boucle de rétro-action (3 tentatives max)</t>
  </si>
  <si>
    <t xml:space="preserve">2.2.6</t>
  </si>
  <si>
    <t xml:space="preserve">Prise en compte de la page courante de l'utilisateur</t>
  </si>
  <si>
    <t xml:space="preserve">2.2.7</t>
  </si>
  <si>
    <t xml:space="preserve">Fallback : boutons de suggestion si confiance &lt; 70 %</t>
  </si>
  <si>
    <t xml:space="preserve">2.3</t>
  </si>
  <si>
    <t xml:space="preserve">2.3 Reformulateur et Sécurité</t>
  </si>
  <si>
    <t xml:space="preserve">2.3.1</t>
  </si>
  <si>
    <t xml:space="preserve">Cache Redis (requête exacte puis similaire)</t>
  </si>
  <si>
    <t xml:space="preserve">2.3.2</t>
  </si>
  <si>
    <t xml:space="preserve">Intégrer Llama Guard (jailbreak, contenu non sûr)</t>
  </si>
  <si>
    <t xml:space="preserve">2.3.3</t>
  </si>
  <si>
    <t xml:space="preserve">NeMo Guardrails (politesse, hors-contexte, intents)</t>
  </si>
  <si>
    <t xml:space="preserve">2.3.4</t>
  </si>
  <si>
    <t xml:space="preserve">Reformulation de la question utilisateur</t>
  </si>
  <si>
    <t xml:space="preserve">2.3.5</t>
  </si>
  <si>
    <t xml:space="preserve">Tests d'attaque (injection de prompt et SQL)</t>
  </si>
  <si>
    <t xml:space="preserve">2.4</t>
  </si>
  <si>
    <t xml:space="preserve">2.4 Entrées multimodales</t>
  </si>
  <si>
    <t xml:space="preserve">2.4.1</t>
  </si>
  <si>
    <t xml:space="preserve">Entrée texte et normalisation</t>
  </si>
  <si>
    <t xml:space="preserve">2.4.2</t>
  </si>
  <si>
    <t xml:space="preserve">Transcription audio</t>
  </si>
  <si>
    <t xml:space="preserve">2.4.3</t>
  </si>
  <si>
    <t xml:space="preserve">Capture d'écran (OCR / VLM)</t>
  </si>
  <si>
    <t xml:space="preserve">2.5</t>
  </si>
  <si>
    <t xml:space="preserve">2.5 Orchestrateur et Intercepteur d'erreurs</t>
  </si>
  <si>
    <t xml:space="preserve">2.5.1</t>
  </si>
  <si>
    <t xml:space="preserve">Routage conditionnel selon l'intent</t>
  </si>
  <si>
    <t xml:space="preserve">2.5.2</t>
  </si>
  <si>
    <t xml:space="preserve">Synthèse finale avec mention de posture</t>
  </si>
  <si>
    <t xml:space="preserve">2.5.3</t>
  </si>
  <si>
    <t xml:space="preserve">Agent Intercepteur d'erreurs</t>
  </si>
  <si>
    <t xml:space="preserve">2.6</t>
  </si>
  <si>
    <t xml:space="preserve">2.6 Interface et API</t>
  </si>
  <si>
    <t xml:space="preserve">2.6.1</t>
  </si>
  <si>
    <t xml:space="preserve">API FastAPI (JWT, streaming)</t>
  </si>
  <si>
    <t xml:space="preserve">2.6.2</t>
  </si>
  <si>
    <t xml:space="preserve">Widget de chat (charte ERP, WCAG 2.1, responsive)</t>
  </si>
  <si>
    <t xml:space="preserve">2.6.3</t>
  </si>
  <si>
    <t xml:space="preserve">Boutons micro et import de capture d'écran</t>
  </si>
  <si>
    <t xml:space="preserve">2.6.4</t>
  </si>
  <si>
    <t xml:space="preserve">Mode debug (prompts, temps par nœud, scores)</t>
  </si>
  <si>
    <t xml:space="preserve">2.7</t>
  </si>
  <si>
    <t xml:space="preserve">2.7 Recette du MVP</t>
  </si>
  <si>
    <t xml:space="preserve">2.7.1</t>
  </si>
  <si>
    <t xml:space="preserve">Tests unitaires par nœud</t>
  </si>
  <si>
    <t xml:space="preserve">2.7.2</t>
  </si>
  <si>
    <t xml:space="preserve">Évaluation finale du RAG</t>
  </si>
  <si>
    <t xml:space="preserve">2.7.3</t>
  </si>
  <si>
    <t xml:space="preserve">Tests de sécurité</t>
  </si>
  <si>
    <t xml:space="preserve">2.7.4</t>
  </si>
  <si>
    <t xml:space="preserve">Tests de performance (&lt; 1,5 s pour le guide)</t>
  </si>
  <si>
    <t xml:space="preserve">2.7.5</t>
  </si>
  <si>
    <t xml:space="preserve">Démonstration</t>
  </si>
  <si>
    <t xml:space="preserve">J2</t>
  </si>
  <si>
    <t xml:space="preserve">Jalon 2 : MVP Guide ERP livré</t>
  </si>
  <si>
    <t xml:space="preserve">P3</t>
  </si>
  <si>
    <t xml:space="preserve">Phase 3 : Support d'erreurs</t>
  </si>
  <si>
    <t xml:space="preserve">3.1</t>
  </si>
  <si>
    <t xml:space="preserve">Collecter les tickets d'erreurs</t>
  </si>
  <si>
    <t xml:space="preserve">À faire tôt : la qualité dépend du volume</t>
  </si>
  <si>
    <t xml:space="preserve">3.2</t>
  </si>
  <si>
    <t xml:space="preserve">Indexer les tickets dans LanceDB</t>
  </si>
  <si>
    <t xml:space="preserve">3.3</t>
  </si>
  <si>
    <t xml:space="preserve">Recherche par similarité (erreurs saisies en texte)</t>
  </si>
  <si>
    <t xml:space="preserve">3.4</t>
  </si>
  <si>
    <t xml:space="preserve">Lecture des captures (Qwen2.5-VL-7B) puis recherche</t>
  </si>
  <si>
    <t xml:space="preserve">3.5</t>
  </si>
  <si>
    <t xml:space="preserve">Boutons d'action (vider le cache, e-mail à l'admin, enregistrer le ticket)</t>
  </si>
  <si>
    <t xml:space="preserve">3.6</t>
  </si>
  <si>
    <t xml:space="preserve">Cas « erreur non trouvée » : renvoi vers l'Intercepteur</t>
  </si>
  <si>
    <t xml:space="preserve">3.7</t>
  </si>
  <si>
    <t xml:space="preserve">Recette du support d'erreurs</t>
  </si>
  <si>
    <t xml:space="preserve">J3</t>
  </si>
  <si>
    <t xml:space="preserve">Jalon 3 : support d'erreurs livré</t>
  </si>
  <si>
    <t xml:space="preserve">P4</t>
  </si>
  <si>
    <t xml:space="preserve">Phase 4 : Assistant BI (text-to-SQL)</t>
  </si>
  <si>
    <t xml:space="preserve">4.1</t>
  </si>
  <si>
    <t xml:space="preserve">Connecter Wren AI au DWH et générer le MDL YAML</t>
  </si>
  <si>
    <t xml:space="preserve">4.2</t>
  </si>
  <si>
    <t xml:space="preserve">Vérifier la sécurité RLS côté base</t>
  </si>
  <si>
    <t xml:space="preserve">4.3</t>
  </si>
  <si>
    <t xml:space="preserve">Générateur de requêtes (qwen2.5-coder, contexte MDL, moteur Wren AI)</t>
  </si>
  <si>
    <t xml:space="preserve">4.4</t>
  </si>
  <si>
    <t xml:space="preserve">Filtre blacklist (INSERT, DELETE, UPDATE) et accès en lecture seule</t>
  </si>
  <si>
    <t xml:space="preserve">4.5</t>
  </si>
  <si>
    <t xml:space="preserve">Évaluateur : Guardrails AI, schémas Pydantic, Regex RBAC</t>
  </si>
  <si>
    <t xml:space="preserve">4.6</t>
  </si>
  <si>
    <t xml:space="preserve">Boucle reask (3 tentatives max)</t>
  </si>
  <si>
    <t xml:space="preserve">4.7</t>
  </si>
  <si>
    <t xml:space="preserve">Générateur d'artefacts : exécution SQL et réponse en langage naturel</t>
  </si>
  <si>
    <t xml:space="preserve">4.8</t>
  </si>
  <si>
    <t xml:space="preserve">Graphiques interactifs</t>
  </si>
  <si>
    <t xml:space="preserve">4.9</t>
  </si>
  <si>
    <t xml:space="preserve">Rapports PDF</t>
  </si>
  <si>
    <t xml:space="preserve">4.10</t>
  </si>
  <si>
    <t xml:space="preserve">Export PowerPoint (PPTX)</t>
  </si>
  <si>
    <t xml:space="preserve">4.11</t>
  </si>
  <si>
    <t xml:space="preserve">Analyse de cause racine (le « pourquoi »)</t>
  </si>
  <si>
    <t xml:space="preserve">4.12</t>
  </si>
  <si>
    <t xml:space="preserve">Recette BI (questions analytiques, droits par rôle)</t>
  </si>
  <si>
    <t xml:space="preserve">J4</t>
  </si>
  <si>
    <t xml:space="preserve">Jalon 4 : module BI livré</t>
  </si>
  <si>
    <t xml:space="preserve">P5</t>
  </si>
  <si>
    <t xml:space="preserve">Phase 5 : Médias, historique et déploiement</t>
  </si>
  <si>
    <t xml:space="preserve">5.1</t>
  </si>
  <si>
    <t xml:space="preserve">Galerie des fichiers générés</t>
  </si>
  <si>
    <t xml:space="preserve">5.2</t>
  </si>
  <si>
    <t xml:space="preserve">Export de conversation (PDF / Markdown)</t>
  </si>
  <si>
    <t xml:space="preserve">5.3</t>
  </si>
  <si>
    <t xml:space="preserve">Mémoire de session isolée par utilisateur</t>
  </si>
  <si>
    <t xml:space="preserve">5.4</t>
  </si>
  <si>
    <t xml:space="preserve">Journalisation des attaques et supervision</t>
  </si>
  <si>
    <t xml:space="preserve">5.5</t>
  </si>
  <si>
    <t xml:space="preserve">Déploiement</t>
  </si>
  <si>
    <t xml:space="preserve">5.6</t>
  </si>
  <si>
    <t xml:space="preserve">Documentation technique et manuel utilisateur</t>
  </si>
  <si>
    <t xml:space="preserve">J5</t>
  </si>
  <si>
    <t xml:space="preserve">Jalon 5 : livraison finale</t>
  </si>
  <si>
    <t xml:space="preserve">Lecture du planning</t>
  </si>
  <si>
    <t xml:space="preserve">Barre bleu foncé = phase ; bleu moyen = groupe de tâches ; bleu clair = tâche ; vert = tâche terminée (100 %) ; orange = jalon.</t>
  </si>
  <si>
    <t xml:space="preserve">L'en-tête orange du Gantt marque la semaine en cours.</t>
  </si>
  <si>
    <t xml:space="preserve">Comment le mettre à jour</t>
  </si>
  <si>
    <t xml:space="preserve">1. Modifier la date de début (cellule D3 de l'onglet WBS) : tout se décale.</t>
  </si>
  <si>
    <t xml:space="preserve">2. Saisir le % d'avancement et le statut des tâches : phases, groupes et avancement global se calculent seuls.</t>
  </si>
  <si>
    <t xml:space="preserve">3. Changer une durée ou un prédécesseur (colonnes Préd. 1 à 4, saisir l'ID d'une tâche ou d'un jalon) : les dates et le Gantt suivent.</t>
  </si>
  <si>
    <t xml:space="preserve">Hypothèses (estimations à ajuster)</t>
  </si>
  <si>
    <t xml:space="preserve">Les durées sont des estimations en jours ouvrés, saisies par moi à partir de tes documents. Elles ne viennent pas d'un chiffrage validé.</t>
  </si>
  <si>
    <t xml:space="preserve">Les dates supposent que les tâches sans dépendance commune se font en parallèle. Avec une seule personne, le calendrier réel sera plus long : la charge totale (cellule D6) donne la durée en séquentiel pur.</t>
  </si>
  <si>
    <t xml:space="preserve">Les tâches 2.1.1, 2.1.4 et 3.1 (collecte de documents, règles RBAC, tickets) sont placées tôt car elles dépendent de l'entreprise, pas du code.</t>
  </si>
  <si>
    <t xml:space="preserve">Les phases 3 et 4 sont enchaînées (support d'erreurs avant BI), comme dans le MVP décrit.</t>
  </si>
  <si>
    <t xml:space="preserve">Par où commencer</t>
  </si>
  <si>
    <t xml:space="preserve">Semaine 1 : tâches 0.1 à 0.6 (décisions de cadrage, sans code).</t>
  </si>
  <si>
    <t xml:space="preserve">Ensuite : 1.1 à 1.5 (socle) en lançant en parallèle la collecte de documents 2.1.1.</t>
  </si>
  <si>
    <t xml:space="preserve">Puis la tranche verticale RAG (2.2.1 à 2.2.4) avant la sécurité.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</si>
</sst>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%"/>
    <numFmt numFmtId="167" formatCode="General"/>
    <numFmt numFmtId="168" formatCode="dd/mm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D9E2F3"/>
        <bgColor rgb="FFE0E0E0"/>
      </patternFill>
    </fill>
    <fill>
      <patternFill patternType="solid">
        <fgColor rgb="FFFF8000"/>
        <bgColor rgb="FFED7D31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 style="hair">
        <color rgb="FFE0E0E0"/>
      </left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1F3864"/>
        </patternFill>
      </fill>
    </dxf>
    <dxf>
      <fill>
        <patternFill>
          <bgColor rgb="FF5B7DB8"/>
        </patternFill>
      </fill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ED7D31"/>
      <rgbColor rgb="FF5B7DB8"/>
      <rgbColor rgb="FF70AD47"/>
      <rgbColor rgb="FF1F3864"/>
      <rgbColor rgb="FF339966"/>
      <rgbColor rgb="FF003300"/>
      <rgbColor rgb="FF333300"/>
      <rgbColor rgb="FF9C57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9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8" topLeftCell="D33" activePane="bottomRight" state="frozen"/>
      <selection pane="topLeft" activeCell="A1" activeCellId="0" sqref="A1"/>
      <selection pane="topRight" activeCell="D1" activeCellId="0" sqref="D1"/>
      <selection pane="bottomLeft" activeCell="A33" activeCellId="0" sqref="A33"/>
      <selection pane="bottomRight" activeCell="A58" activeCellId="0" sqref="A5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8" min="5" style="0" width="7"/>
    <col collapsed="false" customWidth="true" hidden="false" outlineLevel="0" max="12" min="9" style="0" width="11"/>
    <col collapsed="false" customWidth="true" hidden="false" outlineLevel="0" max="13" min="13" style="0" width="14"/>
    <col collapsed="false" customWidth="true" hidden="false" outlineLevel="0" max="14" min="14" style="0" width="38"/>
    <col collapsed="false" customWidth="true" hidden="false" outlineLevel="0" max="37" min="15" style="0" width="3.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C3" s="3" t="s">
        <v>2</v>
      </c>
      <c r="D3" s="4" t="n">
        <v>46300</v>
      </c>
    </row>
    <row r="4" customFormat="false" ht="15" hidden="false" customHeight="false" outlineLevel="0" collapsed="false">
      <c r="C4" s="3" t="s">
        <v>3</v>
      </c>
      <c r="D4" s="5" t="n">
        <f aca="false">MAX(J9:J96)</f>
        <v>46443</v>
      </c>
    </row>
    <row r="5" customFormat="false" ht="15" hidden="false" customHeight="false" outlineLevel="0" collapsed="false">
      <c r="C5" s="3" t="s">
        <v>4</v>
      </c>
      <c r="D5" s="6" t="n">
        <f aca="false">IFERROR(SUMPRODUCT(($B$9:$B$96="Tâche")*$D$9:$D$96*$K$9:$K$96)/SUMPRODUCT(($B$9:$B$96="Tâche")*$D$9:$D$96),0)</f>
        <v>0</v>
      </c>
    </row>
    <row r="6" customFormat="false" ht="15" hidden="false" customHeight="false" outlineLevel="0" collapsed="false">
      <c r="C6" s="3" t="s">
        <v>5</v>
      </c>
      <c r="D6" s="7" t="n">
        <f aca="false">SUMIFS($D$9:$D$96,$B$9:$B$96,"Tâche")</f>
        <v>204</v>
      </c>
    </row>
    <row r="8" customFormat="false" ht="61.5" hidden="false" customHeight="true" outlineLevel="0" collapsed="false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15</v>
      </c>
      <c r="K8" s="8" t="s">
        <v>16</v>
      </c>
      <c r="L8" s="8" t="s">
        <v>17</v>
      </c>
      <c r="M8" s="8" t="s">
        <v>18</v>
      </c>
      <c r="N8" s="8" t="s">
        <v>19</v>
      </c>
      <c r="O8" s="9" t="n">
        <f aca="false">$D$3-WEEKDAY($D$3,3)</f>
        <v>46300</v>
      </c>
      <c r="P8" s="9" t="n">
        <f aca="false">O8+7</f>
        <v>46307</v>
      </c>
      <c r="Q8" s="9" t="n">
        <f aca="false">P8+7</f>
        <v>46314</v>
      </c>
      <c r="R8" s="9" t="n">
        <f aca="false">Q8+7</f>
        <v>46321</v>
      </c>
      <c r="S8" s="9" t="n">
        <f aca="false">R8+7</f>
        <v>46328</v>
      </c>
      <c r="T8" s="9" t="n">
        <f aca="false">S8+7</f>
        <v>46335</v>
      </c>
      <c r="U8" s="9" t="n">
        <f aca="false">T8+7</f>
        <v>46342</v>
      </c>
      <c r="V8" s="9" t="n">
        <f aca="false">U8+7</f>
        <v>46349</v>
      </c>
      <c r="W8" s="9" t="n">
        <f aca="false">V8+7</f>
        <v>46356</v>
      </c>
      <c r="X8" s="9" t="n">
        <f aca="false">W8+7</f>
        <v>46363</v>
      </c>
      <c r="Y8" s="9" t="n">
        <f aca="false">X8+7</f>
        <v>46370</v>
      </c>
      <c r="Z8" s="9" t="n">
        <f aca="false">Y8+7</f>
        <v>46377</v>
      </c>
      <c r="AA8" s="9" t="n">
        <f aca="false">Z8+7</f>
        <v>46384</v>
      </c>
      <c r="AB8" s="9" t="n">
        <f aca="false">AA8+7</f>
        <v>46391</v>
      </c>
      <c r="AC8" s="9" t="n">
        <f aca="false">AB8+7</f>
        <v>46398</v>
      </c>
      <c r="AD8" s="9" t="n">
        <f aca="false">AC8+7</f>
        <v>46405</v>
      </c>
      <c r="AE8" s="9" t="n">
        <f aca="false">AD8+7</f>
        <v>46412</v>
      </c>
      <c r="AF8" s="9" t="n">
        <f aca="false">AE8+7</f>
        <v>46419</v>
      </c>
      <c r="AG8" s="9" t="n">
        <f aca="false">AF8+7</f>
        <v>46426</v>
      </c>
      <c r="AH8" s="9" t="n">
        <f aca="false">AG8+7</f>
        <v>46433</v>
      </c>
      <c r="AI8" s="9" t="n">
        <f aca="false">AH8+7</f>
        <v>46440</v>
      </c>
      <c r="AJ8" s="9" t="n">
        <f aca="false">AI8+7</f>
        <v>46447</v>
      </c>
      <c r="AK8" s="9" t="n">
        <f aca="false">AJ8+7</f>
        <v>46454</v>
      </c>
    </row>
    <row r="9" customFormat="false" ht="15" hidden="false" customHeight="false" outlineLevel="0" collapsed="false">
      <c r="A9" s="10" t="s">
        <v>20</v>
      </c>
      <c r="B9" s="10" t="s">
        <v>21</v>
      </c>
      <c r="C9" s="11" t="s">
        <v>22</v>
      </c>
      <c r="D9" s="10" t="n">
        <f aca="false">NETWORKDAYS(I9,J9)</f>
        <v>6</v>
      </c>
      <c r="E9" s="10"/>
      <c r="F9" s="10"/>
      <c r="G9" s="10"/>
      <c r="H9" s="10"/>
      <c r="I9" s="12" t="n">
        <f aca="false">MIN(I10:I16)</f>
        <v>46300</v>
      </c>
      <c r="J9" s="12" t="n">
        <f aca="false">MAX(J10:J16)</f>
        <v>46307</v>
      </c>
      <c r="K9" s="13" t="n">
        <f aca="false">IFERROR(SUMPRODUCT(($B10:$B16="Tâche")*$D10:$D16*$K10:$K16)/SUMPRODUCT(($B10:$B16="Tâche")*$D10:$D16),0)</f>
        <v>0</v>
      </c>
      <c r="L9" s="10" t="str">
        <f aca="false">IF(K9&gt;=1,"Terminé",IF(K9&gt;0,"En cours","À faire"))</f>
        <v>À faire</v>
      </c>
      <c r="M9" s="11"/>
      <c r="N9" s="11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customFormat="false" ht="15" hidden="false" customHeight="false" outlineLevel="0" collapsed="false">
      <c r="A10" s="15" t="s">
        <v>23</v>
      </c>
      <c r="B10" s="15" t="s">
        <v>8</v>
      </c>
      <c r="C10" s="16" t="s">
        <v>24</v>
      </c>
      <c r="D10" s="17" t="n">
        <v>1</v>
      </c>
      <c r="E10" s="17"/>
      <c r="F10" s="17"/>
      <c r="G10" s="17"/>
      <c r="H10" s="17"/>
      <c r="I10" s="18" t="n">
        <f aca="false">MAX($D$3,com.sun.star.sheet.addin.Analysis.getWorkday(MAX(IFERROR(INDEX($J$9:$J$96,MATCH(E10,$A$9:$A$96,0)),0),IFERROR(INDEX($J$9:$J$96,MATCH(F10,$A$9:$A$96,0)),0),IFERROR(INDEX($J$9:$J$96,MATCH(G10,$A$9:$A$96,0)),0),IFERROR(INDEX($J$9:$J$96,MATCH(H10,$A$9:$A$96,0)),0)),1))</f>
        <v>46300</v>
      </c>
      <c r="J10" s="18" t="n">
        <f aca="false">com.sun.star.sheet.addin.Analysis.getWorkday(I10,D10-1)</f>
        <v>46300</v>
      </c>
      <c r="K10" s="19" t="n">
        <v>0</v>
      </c>
      <c r="L10" s="17" t="s">
        <v>25</v>
      </c>
      <c r="M10" s="20"/>
      <c r="N10" s="21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customFormat="false" ht="15" hidden="false" customHeight="false" outlineLevel="0" collapsed="false">
      <c r="A11" s="15" t="s">
        <v>26</v>
      </c>
      <c r="B11" s="15" t="s">
        <v>8</v>
      </c>
      <c r="C11" s="16" t="s">
        <v>27</v>
      </c>
      <c r="D11" s="17" t="n">
        <v>1</v>
      </c>
      <c r="E11" s="17" t="s">
        <v>23</v>
      </c>
      <c r="F11" s="17"/>
      <c r="G11" s="17"/>
      <c r="H11" s="17"/>
      <c r="I11" s="18" t="n">
        <f aca="false">MAX($D$3,com.sun.star.sheet.addin.Analysis.getWorkday(MAX(IFERROR(INDEX($J$9:$J$96,MATCH(E11,$A$9:$A$96,0)),0),IFERROR(INDEX($J$9:$J$96,MATCH(F11,$A$9:$A$96,0)),0),IFERROR(INDEX($J$9:$J$96,MATCH(G11,$A$9:$A$96,0)),0),IFERROR(INDEX($J$9:$J$96,MATCH(H11,$A$9:$A$96,0)),0)),1))</f>
        <v>46301</v>
      </c>
      <c r="J11" s="18" t="n">
        <f aca="false">com.sun.star.sheet.addin.Analysis.getWorkday(I11,D11-1)</f>
        <v>46301</v>
      </c>
      <c r="K11" s="19" t="n">
        <v>0</v>
      </c>
      <c r="L11" s="17" t="s">
        <v>25</v>
      </c>
      <c r="M11" s="20"/>
      <c r="N11" s="21" t="s">
        <v>28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customFormat="false" ht="15" hidden="false" customHeight="false" outlineLevel="0" collapsed="false">
      <c r="A12" s="15" t="s">
        <v>29</v>
      </c>
      <c r="B12" s="15" t="s">
        <v>8</v>
      </c>
      <c r="C12" s="16" t="s">
        <v>30</v>
      </c>
      <c r="D12" s="17" t="n">
        <v>2</v>
      </c>
      <c r="E12" s="17" t="s">
        <v>23</v>
      </c>
      <c r="F12" s="17"/>
      <c r="G12" s="17"/>
      <c r="H12" s="17"/>
      <c r="I12" s="18" t="n">
        <f aca="false">MAX($D$3,com.sun.star.sheet.addin.Analysis.getWorkday(MAX(IFERROR(INDEX($J$9:$J$96,MATCH(E12,$A$9:$A$96,0)),0),IFERROR(INDEX($J$9:$J$96,MATCH(F12,$A$9:$A$96,0)),0),IFERROR(INDEX($J$9:$J$96,MATCH(G12,$A$9:$A$96,0)),0),IFERROR(INDEX($J$9:$J$96,MATCH(H12,$A$9:$A$96,0)),0)),1))</f>
        <v>46301</v>
      </c>
      <c r="J12" s="18" t="n">
        <f aca="false">com.sun.star.sheet.addin.Analysis.getWorkday(I12,D12-1)</f>
        <v>46302</v>
      </c>
      <c r="K12" s="19" t="n">
        <v>0</v>
      </c>
      <c r="L12" s="17" t="s">
        <v>25</v>
      </c>
      <c r="M12" s="20"/>
      <c r="N12" s="21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customFormat="false" ht="15" hidden="false" customHeight="false" outlineLevel="0" collapsed="false">
      <c r="A13" s="15" t="s">
        <v>31</v>
      </c>
      <c r="B13" s="15" t="s">
        <v>8</v>
      </c>
      <c r="C13" s="16" t="s">
        <v>32</v>
      </c>
      <c r="D13" s="17" t="n">
        <v>3</v>
      </c>
      <c r="E13" s="17" t="s">
        <v>23</v>
      </c>
      <c r="F13" s="17"/>
      <c r="G13" s="17"/>
      <c r="H13" s="17"/>
      <c r="I13" s="18" t="n">
        <f aca="false">MAX($D$3,com.sun.star.sheet.addin.Analysis.getWorkday(MAX(IFERROR(INDEX($J$9:$J$96,MATCH(E13,$A$9:$A$96,0)),0),IFERROR(INDEX($J$9:$J$96,MATCH(F13,$A$9:$A$96,0)),0),IFERROR(INDEX($J$9:$J$96,MATCH(G13,$A$9:$A$96,0)),0),IFERROR(INDEX($J$9:$J$96,MATCH(H13,$A$9:$A$96,0)),0)),1))</f>
        <v>46301</v>
      </c>
      <c r="J13" s="18" t="n">
        <f aca="false">com.sun.star.sheet.addin.Analysis.getWorkday(I13,D13-1)</f>
        <v>46303</v>
      </c>
      <c r="K13" s="19" t="n">
        <v>0</v>
      </c>
      <c r="L13" s="17" t="s">
        <v>25</v>
      </c>
      <c r="M13" s="20"/>
      <c r="N13" s="21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customFormat="false" ht="15" hidden="false" customHeight="false" outlineLevel="0" collapsed="false">
      <c r="A14" s="15" t="s">
        <v>33</v>
      </c>
      <c r="B14" s="15" t="s">
        <v>8</v>
      </c>
      <c r="C14" s="16" t="s">
        <v>34</v>
      </c>
      <c r="D14" s="17" t="n">
        <v>2</v>
      </c>
      <c r="E14" s="17" t="s">
        <v>26</v>
      </c>
      <c r="F14" s="17" t="s">
        <v>29</v>
      </c>
      <c r="G14" s="17"/>
      <c r="H14" s="17"/>
      <c r="I14" s="18" t="n">
        <f aca="false">MAX($D$3,com.sun.star.sheet.addin.Analysis.getWorkday(MAX(IFERROR(INDEX($J$9:$J$96,MATCH(E14,$A$9:$A$96,0)),0),IFERROR(INDEX($J$9:$J$96,MATCH(F14,$A$9:$A$96,0)),0),IFERROR(INDEX($J$9:$J$96,MATCH(G14,$A$9:$A$96,0)),0),IFERROR(INDEX($J$9:$J$96,MATCH(H14,$A$9:$A$96,0)),0)),1))</f>
        <v>46303</v>
      </c>
      <c r="J14" s="18" t="n">
        <f aca="false">com.sun.star.sheet.addin.Analysis.getWorkday(I14,D14-1)</f>
        <v>46304</v>
      </c>
      <c r="K14" s="19" t="n">
        <v>0</v>
      </c>
      <c r="L14" s="17" t="s">
        <v>25</v>
      </c>
      <c r="M14" s="20"/>
      <c r="N14" s="21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customFormat="false" ht="15" hidden="false" customHeight="false" outlineLevel="0" collapsed="false">
      <c r="A15" s="15" t="s">
        <v>35</v>
      </c>
      <c r="B15" s="15" t="s">
        <v>8</v>
      </c>
      <c r="C15" s="16" t="s">
        <v>36</v>
      </c>
      <c r="D15" s="17" t="n">
        <v>1</v>
      </c>
      <c r="E15" s="17" t="s">
        <v>33</v>
      </c>
      <c r="F15" s="17"/>
      <c r="G15" s="17"/>
      <c r="H15" s="17"/>
      <c r="I15" s="18" t="n">
        <f aca="false">MAX($D$3,com.sun.star.sheet.addin.Analysis.getWorkday(MAX(IFERROR(INDEX($J$9:$J$96,MATCH(E15,$A$9:$A$96,0)),0),IFERROR(INDEX($J$9:$J$96,MATCH(F15,$A$9:$A$96,0)),0),IFERROR(INDEX($J$9:$J$96,MATCH(G15,$A$9:$A$96,0)),0),IFERROR(INDEX($J$9:$J$96,MATCH(H15,$A$9:$A$96,0)),0)),1))</f>
        <v>46307</v>
      </c>
      <c r="J15" s="18" t="n">
        <f aca="false">com.sun.star.sheet.addin.Analysis.getWorkday(I15,D15-1)</f>
        <v>46307</v>
      </c>
      <c r="K15" s="19" t="n">
        <v>0</v>
      </c>
      <c r="L15" s="17" t="s">
        <v>25</v>
      </c>
      <c r="M15" s="20"/>
      <c r="N15" s="21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customFormat="false" ht="15" hidden="false" customHeight="false" outlineLevel="0" collapsed="false">
      <c r="A16" s="22" t="s">
        <v>37</v>
      </c>
      <c r="B16" s="22" t="s">
        <v>38</v>
      </c>
      <c r="C16" s="23" t="s">
        <v>39</v>
      </c>
      <c r="D16" s="22" t="n">
        <v>0</v>
      </c>
      <c r="E16" s="17" t="s">
        <v>31</v>
      </c>
      <c r="F16" s="17" t="s">
        <v>35</v>
      </c>
      <c r="G16" s="17"/>
      <c r="H16" s="17"/>
      <c r="I16" s="24" t="n">
        <f aca="false">MAX($D$3,MAX(IFERROR(INDEX($J$9:$J$96,MATCH(E16,$A$9:$A$96,0)),0),IFERROR(INDEX($J$9:$J$96,MATCH(F16,$A$9:$A$96,0)),0),IFERROR(INDEX($J$9:$J$96,MATCH(G16,$A$9:$A$96,0)),0),IFERROR(INDEX($J$9:$J$96,MATCH(H16,$A$9:$A$96,0)),0)))</f>
        <v>46307</v>
      </c>
      <c r="J16" s="24" t="n">
        <f aca="false">I16</f>
        <v>46307</v>
      </c>
      <c r="K16" s="25"/>
      <c r="L16" s="22"/>
      <c r="M16" s="26"/>
      <c r="N16" s="26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customFormat="false" ht="15" hidden="false" customHeight="false" outlineLevel="0" collapsed="false">
      <c r="A17" s="10" t="s">
        <v>40</v>
      </c>
      <c r="B17" s="10" t="s">
        <v>21</v>
      </c>
      <c r="C17" s="11" t="s">
        <v>41</v>
      </c>
      <c r="D17" s="10" t="n">
        <f aca="false">NETWORKDAYS(I17,J17)</f>
        <v>6</v>
      </c>
      <c r="E17" s="10"/>
      <c r="F17" s="10"/>
      <c r="G17" s="10"/>
      <c r="H17" s="10"/>
      <c r="I17" s="12" t="n">
        <f aca="false">MIN(I18:I23)</f>
        <v>46308</v>
      </c>
      <c r="J17" s="12" t="n">
        <f aca="false">MAX(J18:J23)</f>
        <v>46315</v>
      </c>
      <c r="K17" s="13" t="n">
        <f aca="false">IFERROR(SUMPRODUCT(($B18:$B23="Tâche")*$D18:$D23*$K18:$K23)/SUMPRODUCT(($B18:$B23="Tâche")*$D18:$D23),0)</f>
        <v>0</v>
      </c>
      <c r="L17" s="10" t="str">
        <f aca="false">IF(K17&gt;=1,"Terminé",IF(K17&gt;0,"En cours","À faire"))</f>
        <v>À faire</v>
      </c>
      <c r="M17" s="11"/>
      <c r="N17" s="11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customFormat="false" ht="15" hidden="false" customHeight="false" outlineLevel="0" collapsed="false">
      <c r="A18" s="15" t="s">
        <v>42</v>
      </c>
      <c r="B18" s="15" t="s">
        <v>8</v>
      </c>
      <c r="C18" s="16" t="s">
        <v>43</v>
      </c>
      <c r="D18" s="17" t="n">
        <v>2</v>
      </c>
      <c r="E18" s="17" t="s">
        <v>37</v>
      </c>
      <c r="F18" s="17"/>
      <c r="G18" s="17"/>
      <c r="H18" s="17"/>
      <c r="I18" s="18" t="n">
        <f aca="false">MAX($D$3,com.sun.star.sheet.addin.Analysis.getWorkday(MAX(IFERROR(INDEX($J$9:$J$96,MATCH(E18,$A$9:$A$96,0)),0),IFERROR(INDEX($J$9:$J$96,MATCH(F18,$A$9:$A$96,0)),0),IFERROR(INDEX($J$9:$J$96,MATCH(G18,$A$9:$A$96,0)),0),IFERROR(INDEX($J$9:$J$96,MATCH(H18,$A$9:$A$96,0)),0)),1))</f>
        <v>46308</v>
      </c>
      <c r="J18" s="18" t="n">
        <f aca="false">com.sun.star.sheet.addin.Analysis.getWorkday(I18,D18-1)</f>
        <v>46309</v>
      </c>
      <c r="K18" s="19" t="n">
        <v>0</v>
      </c>
      <c r="L18" s="17" t="s">
        <v>25</v>
      </c>
      <c r="M18" s="20"/>
      <c r="N18" s="21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customFormat="false" ht="15" hidden="false" customHeight="false" outlineLevel="0" collapsed="false">
      <c r="A19" s="15" t="s">
        <v>44</v>
      </c>
      <c r="B19" s="15" t="s">
        <v>8</v>
      </c>
      <c r="C19" s="16" t="s">
        <v>45</v>
      </c>
      <c r="D19" s="17" t="n">
        <v>2</v>
      </c>
      <c r="E19" s="17" t="s">
        <v>42</v>
      </c>
      <c r="F19" s="17"/>
      <c r="G19" s="17"/>
      <c r="H19" s="17"/>
      <c r="I19" s="18" t="n">
        <f aca="false">MAX($D$3,com.sun.star.sheet.addin.Analysis.getWorkday(MAX(IFERROR(INDEX($J$9:$J$96,MATCH(E19,$A$9:$A$96,0)),0),IFERROR(INDEX($J$9:$J$96,MATCH(F19,$A$9:$A$96,0)),0),IFERROR(INDEX($J$9:$J$96,MATCH(G19,$A$9:$A$96,0)),0),IFERROR(INDEX($J$9:$J$96,MATCH(H19,$A$9:$A$96,0)),0)),1))</f>
        <v>46310</v>
      </c>
      <c r="J19" s="18" t="n">
        <f aca="false">com.sun.star.sheet.addin.Analysis.getWorkday(I19,D19-1)</f>
        <v>46311</v>
      </c>
      <c r="K19" s="19" t="n">
        <v>0</v>
      </c>
      <c r="L19" s="17" t="s">
        <v>25</v>
      </c>
      <c r="M19" s="20"/>
      <c r="N19" s="21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customFormat="false" ht="15" hidden="false" customHeight="false" outlineLevel="0" collapsed="false">
      <c r="A20" s="15" t="s">
        <v>46</v>
      </c>
      <c r="B20" s="15" t="s">
        <v>8</v>
      </c>
      <c r="C20" s="16" t="s">
        <v>47</v>
      </c>
      <c r="D20" s="17" t="n">
        <v>3</v>
      </c>
      <c r="E20" s="17" t="s">
        <v>42</v>
      </c>
      <c r="F20" s="17"/>
      <c r="G20" s="17"/>
      <c r="H20" s="17"/>
      <c r="I20" s="18" t="n">
        <f aca="false">MAX($D$3,com.sun.star.sheet.addin.Analysis.getWorkday(MAX(IFERROR(INDEX($J$9:$J$96,MATCH(E20,$A$9:$A$96,0)),0),IFERROR(INDEX($J$9:$J$96,MATCH(F20,$A$9:$A$96,0)),0),IFERROR(INDEX($J$9:$J$96,MATCH(G20,$A$9:$A$96,0)),0),IFERROR(INDEX($J$9:$J$96,MATCH(H20,$A$9:$A$96,0)),0)),1))</f>
        <v>46310</v>
      </c>
      <c r="J20" s="18" t="n">
        <f aca="false">com.sun.star.sheet.addin.Analysis.getWorkday(I20,D20-1)</f>
        <v>46314</v>
      </c>
      <c r="K20" s="19" t="n">
        <v>0</v>
      </c>
      <c r="L20" s="17" t="s">
        <v>25</v>
      </c>
      <c r="M20" s="20"/>
      <c r="N20" s="21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customFormat="false" ht="15" hidden="false" customHeight="false" outlineLevel="0" collapsed="false">
      <c r="A21" s="15" t="s">
        <v>48</v>
      </c>
      <c r="B21" s="15" t="s">
        <v>8</v>
      </c>
      <c r="C21" s="16" t="s">
        <v>49</v>
      </c>
      <c r="D21" s="17" t="n">
        <v>3</v>
      </c>
      <c r="E21" s="17" t="s">
        <v>42</v>
      </c>
      <c r="F21" s="17"/>
      <c r="G21" s="17"/>
      <c r="H21" s="17"/>
      <c r="I21" s="18" t="n">
        <f aca="false">MAX($D$3,com.sun.star.sheet.addin.Analysis.getWorkday(MAX(IFERROR(INDEX($J$9:$J$96,MATCH(E21,$A$9:$A$96,0)),0),IFERROR(INDEX($J$9:$J$96,MATCH(F21,$A$9:$A$96,0)),0),IFERROR(INDEX($J$9:$J$96,MATCH(G21,$A$9:$A$96,0)),0),IFERROR(INDEX($J$9:$J$96,MATCH(H21,$A$9:$A$96,0)),0)),1))</f>
        <v>46310</v>
      </c>
      <c r="J21" s="18" t="n">
        <f aca="false">com.sun.star.sheet.addin.Analysis.getWorkday(I21,D21-1)</f>
        <v>46314</v>
      </c>
      <c r="K21" s="19" t="n">
        <v>0</v>
      </c>
      <c r="L21" s="17" t="s">
        <v>25</v>
      </c>
      <c r="M21" s="20"/>
      <c r="N21" s="21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customFormat="false" ht="15" hidden="false" customHeight="false" outlineLevel="0" collapsed="false">
      <c r="A22" s="15" t="s">
        <v>50</v>
      </c>
      <c r="B22" s="15" t="s">
        <v>8</v>
      </c>
      <c r="C22" s="16" t="s">
        <v>51</v>
      </c>
      <c r="D22" s="17" t="n">
        <v>1</v>
      </c>
      <c r="E22" s="17" t="s">
        <v>48</v>
      </c>
      <c r="F22" s="17"/>
      <c r="G22" s="17"/>
      <c r="H22" s="17"/>
      <c r="I22" s="18" t="n">
        <f aca="false">MAX($D$3,com.sun.star.sheet.addin.Analysis.getWorkday(MAX(IFERROR(INDEX($J$9:$J$96,MATCH(E22,$A$9:$A$96,0)),0),IFERROR(INDEX($J$9:$J$96,MATCH(F22,$A$9:$A$96,0)),0),IFERROR(INDEX($J$9:$J$96,MATCH(G22,$A$9:$A$96,0)),0),IFERROR(INDEX($J$9:$J$96,MATCH(H22,$A$9:$A$96,0)),0)),1))</f>
        <v>46315</v>
      </c>
      <c r="J22" s="18" t="n">
        <f aca="false">com.sun.star.sheet.addin.Analysis.getWorkday(I22,D22-1)</f>
        <v>46315</v>
      </c>
      <c r="K22" s="19" t="n">
        <v>0</v>
      </c>
      <c r="L22" s="17" t="s">
        <v>25</v>
      </c>
      <c r="M22" s="20"/>
      <c r="N22" s="21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customFormat="false" ht="15" hidden="false" customHeight="false" outlineLevel="0" collapsed="false">
      <c r="A23" s="22" t="s">
        <v>52</v>
      </c>
      <c r="B23" s="22" t="s">
        <v>38</v>
      </c>
      <c r="C23" s="23" t="s">
        <v>53</v>
      </c>
      <c r="D23" s="22" t="n">
        <v>0</v>
      </c>
      <c r="E23" s="17" t="s">
        <v>44</v>
      </c>
      <c r="F23" s="17" t="s">
        <v>46</v>
      </c>
      <c r="G23" s="17" t="s">
        <v>50</v>
      </c>
      <c r="H23" s="17"/>
      <c r="I23" s="24" t="n">
        <f aca="false">MAX($D$3,MAX(IFERROR(INDEX($J$9:$J$96,MATCH(E23,$A$9:$A$96,0)),0),IFERROR(INDEX($J$9:$J$96,MATCH(F23,$A$9:$A$96,0)),0),IFERROR(INDEX($J$9:$J$96,MATCH(G23,$A$9:$A$96,0)),0),IFERROR(INDEX($J$9:$J$96,MATCH(H23,$A$9:$A$96,0)),0)))</f>
        <v>46315</v>
      </c>
      <c r="J23" s="24" t="n">
        <f aca="false">I23</f>
        <v>46315</v>
      </c>
      <c r="K23" s="25"/>
      <c r="L23" s="22"/>
      <c r="M23" s="26"/>
      <c r="N23" s="26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customFormat="false" ht="15" hidden="false" customHeight="false" outlineLevel="0" collapsed="false">
      <c r="A24" s="10" t="s">
        <v>54</v>
      </c>
      <c r="B24" s="10" t="s">
        <v>21</v>
      </c>
      <c r="C24" s="11" t="s">
        <v>55</v>
      </c>
      <c r="D24" s="10" t="n">
        <f aca="false">NETWORKDAYS(I24,J24)</f>
        <v>40</v>
      </c>
      <c r="E24" s="10"/>
      <c r="F24" s="10"/>
      <c r="G24" s="10"/>
      <c r="H24" s="10"/>
      <c r="I24" s="12" t="n">
        <f aca="false">MIN(I25:I65)</f>
        <v>46308</v>
      </c>
      <c r="J24" s="12" t="n">
        <f aca="false">MAX(J25:J65)</f>
        <v>46363</v>
      </c>
      <c r="K24" s="13" t="n">
        <f aca="false">IFERROR(SUMPRODUCT(($B25:$B65="Tâche")*$D25:$D65*$K25:$K65)/SUMPRODUCT(($B25:$B65="Tâche")*$D25:$D65),0)</f>
        <v>0</v>
      </c>
      <c r="L24" s="10" t="str">
        <f aca="false">IF(K24&gt;=1,"Terminé",IF(K24&gt;0,"En cours","À faire"))</f>
        <v>À faire</v>
      </c>
      <c r="M24" s="11"/>
      <c r="N24" s="11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customFormat="false" ht="15" hidden="false" customHeight="false" outlineLevel="0" collapsed="false">
      <c r="A25" s="27" t="s">
        <v>56</v>
      </c>
      <c r="B25" s="27" t="s">
        <v>57</v>
      </c>
      <c r="C25" s="28" t="s">
        <v>58</v>
      </c>
      <c r="D25" s="27" t="n">
        <f aca="false">NETWORKDAYS(I25,J25)</f>
        <v>10</v>
      </c>
      <c r="E25" s="27"/>
      <c r="F25" s="27"/>
      <c r="G25" s="27"/>
      <c r="H25" s="27"/>
      <c r="I25" s="29" t="n">
        <f aca="false">MIN(I26:I30)</f>
        <v>46308</v>
      </c>
      <c r="J25" s="29" t="n">
        <f aca="false">MAX(J26:J30)</f>
        <v>46321</v>
      </c>
      <c r="K25" s="30" t="n">
        <f aca="false">IFERROR(SUMPRODUCT(($B26:$B30="Tâche")*$D26:$D30*$K26:$K30)/SUMPRODUCT(($B26:$B30="Tâche")*$D26:$D30),0)</f>
        <v>0</v>
      </c>
      <c r="L25" s="27" t="str">
        <f aca="false">IF(K25&gt;=1,"Terminé",IF(K25&gt;0,"En cours","À faire"))</f>
        <v>À faire</v>
      </c>
      <c r="M25" s="31"/>
      <c r="N25" s="31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customFormat="false" ht="15" hidden="false" customHeight="false" outlineLevel="0" collapsed="false">
      <c r="A26" s="15" t="s">
        <v>59</v>
      </c>
      <c r="B26" s="15" t="s">
        <v>8</v>
      </c>
      <c r="C26" s="16" t="s">
        <v>60</v>
      </c>
      <c r="D26" s="17" t="n">
        <v>5</v>
      </c>
      <c r="E26" s="17" t="s">
        <v>37</v>
      </c>
      <c r="F26" s="17"/>
      <c r="G26" s="17"/>
      <c r="H26" s="17"/>
      <c r="I26" s="18" t="n">
        <f aca="false">MAX($D$3,com.sun.star.sheet.addin.Analysis.getWorkday(MAX(IFERROR(INDEX($J$9:$J$96,MATCH(E26,$A$9:$A$96,0)),0),IFERROR(INDEX($J$9:$J$96,MATCH(F26,$A$9:$A$96,0)),0),IFERROR(INDEX($J$9:$J$96,MATCH(G26,$A$9:$A$96,0)),0),IFERROR(INDEX($J$9:$J$96,MATCH(H26,$A$9:$A$96,0)),0)),1))</f>
        <v>46308</v>
      </c>
      <c r="J26" s="18" t="n">
        <f aca="false">com.sun.star.sheet.addin.Analysis.getWorkday(I26,D26-1)</f>
        <v>46314</v>
      </c>
      <c r="K26" s="19" t="n">
        <v>0</v>
      </c>
      <c r="L26" s="17" t="s">
        <v>61</v>
      </c>
      <c r="M26" s="20"/>
      <c r="N26" s="21" t="s">
        <v>62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customFormat="false" ht="15" hidden="false" customHeight="false" outlineLevel="0" collapsed="false">
      <c r="A27" s="15" t="s">
        <v>63</v>
      </c>
      <c r="B27" s="15" t="s">
        <v>8</v>
      </c>
      <c r="C27" s="16" t="s">
        <v>64</v>
      </c>
      <c r="D27" s="17" t="n">
        <v>3</v>
      </c>
      <c r="E27" s="17" t="s">
        <v>59</v>
      </c>
      <c r="F27" s="17"/>
      <c r="G27" s="17"/>
      <c r="H27" s="17"/>
      <c r="I27" s="18" t="n">
        <f aca="false">MAX($D$3,com.sun.star.sheet.addin.Analysis.getWorkday(MAX(IFERROR(INDEX($J$9:$J$96,MATCH(E27,$A$9:$A$96,0)),0),IFERROR(INDEX($J$9:$J$96,MATCH(F27,$A$9:$A$96,0)),0),IFERROR(INDEX($J$9:$J$96,MATCH(G27,$A$9:$A$96,0)),0),IFERROR(INDEX($J$9:$J$96,MATCH(H27,$A$9:$A$96,0)),0)),1))</f>
        <v>46315</v>
      </c>
      <c r="J27" s="18" t="n">
        <f aca="false">com.sun.star.sheet.addin.Analysis.getWorkday(I27,D27-1)</f>
        <v>46317</v>
      </c>
      <c r="K27" s="19" t="n">
        <v>0</v>
      </c>
      <c r="L27" s="17" t="s">
        <v>61</v>
      </c>
      <c r="M27" s="20"/>
      <c r="N27" s="21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customFormat="false" ht="15" hidden="false" customHeight="false" outlineLevel="0" collapsed="false">
      <c r="A28" s="15" t="s">
        <v>65</v>
      </c>
      <c r="B28" s="15" t="s">
        <v>8</v>
      </c>
      <c r="C28" s="16" t="s">
        <v>66</v>
      </c>
      <c r="D28" s="17" t="n">
        <v>2</v>
      </c>
      <c r="E28" s="17" t="s">
        <v>63</v>
      </c>
      <c r="F28" s="17" t="s">
        <v>44</v>
      </c>
      <c r="G28" s="17"/>
      <c r="H28" s="17"/>
      <c r="I28" s="18" t="n">
        <f aca="false">MAX($D$3,com.sun.star.sheet.addin.Analysis.getWorkday(MAX(IFERROR(INDEX($J$9:$J$96,MATCH(E28,$A$9:$A$96,0)),0),IFERROR(INDEX($J$9:$J$96,MATCH(F28,$A$9:$A$96,0)),0),IFERROR(INDEX($J$9:$J$96,MATCH(G28,$A$9:$A$96,0)),0),IFERROR(INDEX($J$9:$J$96,MATCH(H28,$A$9:$A$96,0)),0)),1))</f>
        <v>46318</v>
      </c>
      <c r="J28" s="18" t="n">
        <f aca="false">com.sun.star.sheet.addin.Analysis.getWorkday(I28,D28-1)</f>
        <v>46321</v>
      </c>
      <c r="K28" s="19" t="n">
        <v>0</v>
      </c>
      <c r="L28" s="17" t="s">
        <v>61</v>
      </c>
      <c r="M28" s="20"/>
      <c r="N28" s="21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customFormat="false" ht="15" hidden="false" customHeight="false" outlineLevel="0" collapsed="false">
      <c r="A29" s="15" t="s">
        <v>67</v>
      </c>
      <c r="B29" s="15" t="s">
        <v>8</v>
      </c>
      <c r="C29" s="16" t="s">
        <v>68</v>
      </c>
      <c r="D29" s="17" t="n">
        <v>2</v>
      </c>
      <c r="E29" s="17" t="s">
        <v>37</v>
      </c>
      <c r="F29" s="17"/>
      <c r="G29" s="17"/>
      <c r="H29" s="17"/>
      <c r="I29" s="18" t="n">
        <f aca="false">MAX($D$3,com.sun.star.sheet.addin.Analysis.getWorkday(MAX(IFERROR(INDEX($J$9:$J$96,MATCH(E29,$A$9:$A$96,0)),0),IFERROR(INDEX($J$9:$J$96,MATCH(F29,$A$9:$A$96,0)),0),IFERROR(INDEX($J$9:$J$96,MATCH(G29,$A$9:$A$96,0)),0),IFERROR(INDEX($J$9:$J$96,MATCH(H29,$A$9:$A$96,0)),0)),1))</f>
        <v>46308</v>
      </c>
      <c r="J29" s="18" t="n">
        <f aca="false">com.sun.star.sheet.addin.Analysis.getWorkday(I29,D29-1)</f>
        <v>46309</v>
      </c>
      <c r="K29" s="19" t="n">
        <v>0</v>
      </c>
      <c r="L29" s="17" t="s">
        <v>69</v>
      </c>
      <c r="M29" s="20"/>
      <c r="N29" s="21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customFormat="false" ht="15" hidden="false" customHeight="false" outlineLevel="0" collapsed="false">
      <c r="A30" s="15" t="s">
        <v>70</v>
      </c>
      <c r="B30" s="15" t="s">
        <v>8</v>
      </c>
      <c r="C30" s="16" t="s">
        <v>71</v>
      </c>
      <c r="D30" s="17" t="n">
        <v>3</v>
      </c>
      <c r="E30" s="17" t="s">
        <v>59</v>
      </c>
      <c r="F30" s="17"/>
      <c r="G30" s="17"/>
      <c r="H30" s="17"/>
      <c r="I30" s="18" t="n">
        <f aca="false">MAX($D$3,com.sun.star.sheet.addin.Analysis.getWorkday(MAX(IFERROR(INDEX($J$9:$J$96,MATCH(E30,$A$9:$A$96,0)),0),IFERROR(INDEX($J$9:$J$96,MATCH(F30,$A$9:$A$96,0)),0),IFERROR(INDEX($J$9:$J$96,MATCH(G30,$A$9:$A$96,0)),0),IFERROR(INDEX($J$9:$J$96,MATCH(H30,$A$9:$A$96,0)),0)),1))</f>
        <v>46315</v>
      </c>
      <c r="J30" s="18" t="n">
        <f aca="false">com.sun.star.sheet.addin.Analysis.getWorkday(I30,D30-1)</f>
        <v>46317</v>
      </c>
      <c r="K30" s="19" t="n">
        <v>0</v>
      </c>
      <c r="L30" s="17" t="s">
        <v>69</v>
      </c>
      <c r="M30" s="20"/>
      <c r="N30" s="21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customFormat="false" ht="15" hidden="false" customHeight="false" outlineLevel="0" collapsed="false">
      <c r="A31" s="27" t="s">
        <v>72</v>
      </c>
      <c r="B31" s="27" t="s">
        <v>57</v>
      </c>
      <c r="C31" s="28" t="s">
        <v>73</v>
      </c>
      <c r="D31" s="27" t="n">
        <f aca="false">NETWORKDAYS(I31,J31)</f>
        <v>17</v>
      </c>
      <c r="E31" s="27"/>
      <c r="F31" s="27"/>
      <c r="G31" s="27"/>
      <c r="H31" s="27"/>
      <c r="I31" s="29" t="n">
        <f aca="false">MIN(I32:I39)</f>
        <v>46322</v>
      </c>
      <c r="J31" s="29" t="n">
        <f aca="false">MAX(J32:J39)</f>
        <v>46344</v>
      </c>
      <c r="K31" s="30" t="n">
        <f aca="false">IFERROR(SUMPRODUCT(($B32:$B39="Tâche")*$D32:$D39*$K32:$K39)/SUMPRODUCT(($B32:$B39="Tâche")*$D32:$D39),0)</f>
        <v>0</v>
      </c>
      <c r="L31" s="27" t="str">
        <f aca="false">IF(K31&gt;=1,"Terminé",IF(K31&gt;0,"En cours","À faire"))</f>
        <v>À faire</v>
      </c>
      <c r="M31" s="31"/>
      <c r="N31" s="31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customFormat="false" ht="15" hidden="false" customHeight="false" outlineLevel="0" collapsed="false">
      <c r="A32" s="15" t="s">
        <v>74</v>
      </c>
      <c r="B32" s="15" t="s">
        <v>8</v>
      </c>
      <c r="C32" s="16" t="s">
        <v>75</v>
      </c>
      <c r="D32" s="17" t="n">
        <v>2</v>
      </c>
      <c r="E32" s="17" t="s">
        <v>65</v>
      </c>
      <c r="F32" s="17" t="s">
        <v>48</v>
      </c>
      <c r="G32" s="17"/>
      <c r="H32" s="17"/>
      <c r="I32" s="18" t="n">
        <f aca="false">MAX($D$3,com.sun.star.sheet.addin.Analysis.getWorkday(MAX(IFERROR(INDEX($J$9:$J$96,MATCH(E32,$A$9:$A$96,0)),0),IFERROR(INDEX($J$9:$J$96,MATCH(F32,$A$9:$A$96,0)),0),IFERROR(INDEX($J$9:$J$96,MATCH(G32,$A$9:$A$96,0)),0),IFERROR(INDEX($J$9:$J$96,MATCH(H32,$A$9:$A$96,0)),0)),1))</f>
        <v>46322</v>
      </c>
      <c r="J32" s="18" t="n">
        <f aca="false">com.sun.star.sheet.addin.Analysis.getWorkday(I32,D32-1)</f>
        <v>46323</v>
      </c>
      <c r="K32" s="19" t="n">
        <v>0</v>
      </c>
      <c r="L32" s="17" t="s">
        <v>69</v>
      </c>
      <c r="M32" s="20"/>
      <c r="N32" s="21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customFormat="false" ht="15" hidden="false" customHeight="false" outlineLevel="0" collapsed="false">
      <c r="A33" s="15" t="s">
        <v>76</v>
      </c>
      <c r="B33" s="15" t="s">
        <v>8</v>
      </c>
      <c r="C33" s="16" t="s">
        <v>77</v>
      </c>
      <c r="D33" s="17" t="n">
        <v>3</v>
      </c>
      <c r="E33" s="17" t="s">
        <v>74</v>
      </c>
      <c r="F33" s="17"/>
      <c r="G33" s="17"/>
      <c r="H33" s="17"/>
      <c r="I33" s="18" t="n">
        <f aca="false">MAX($D$3,com.sun.star.sheet.addin.Analysis.getWorkday(MAX(IFERROR(INDEX($J$9:$J$96,MATCH(E33,$A$9:$A$96,0)),0),IFERROR(INDEX($J$9:$J$96,MATCH(F33,$A$9:$A$96,0)),0),IFERROR(INDEX($J$9:$J$96,MATCH(G33,$A$9:$A$96,0)),0),IFERROR(INDEX($J$9:$J$96,MATCH(H33,$A$9:$A$96,0)),0)),1))</f>
        <v>46324</v>
      </c>
      <c r="J33" s="18" t="n">
        <f aca="false">com.sun.star.sheet.addin.Analysis.getWorkday(I33,D33-1)</f>
        <v>46328</v>
      </c>
      <c r="K33" s="19" t="n">
        <v>0</v>
      </c>
      <c r="L33" s="17" t="s">
        <v>69</v>
      </c>
      <c r="M33" s="20"/>
      <c r="N33" s="21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customFormat="false" ht="15" hidden="false" customHeight="false" outlineLevel="0" collapsed="false">
      <c r="A34" s="15" t="s">
        <v>78</v>
      </c>
      <c r="B34" s="15" t="s">
        <v>8</v>
      </c>
      <c r="C34" s="16" t="s">
        <v>79</v>
      </c>
      <c r="D34" s="17" t="n">
        <v>4</v>
      </c>
      <c r="E34" s="17" t="s">
        <v>76</v>
      </c>
      <c r="F34" s="17"/>
      <c r="G34" s="17"/>
      <c r="H34" s="17"/>
      <c r="I34" s="18" t="n">
        <f aca="false">MAX($D$3,com.sun.star.sheet.addin.Analysis.getWorkday(MAX(IFERROR(INDEX($J$9:$J$96,MATCH(E34,$A$9:$A$96,0)),0),IFERROR(INDEX($J$9:$J$96,MATCH(F34,$A$9:$A$96,0)),0),IFERROR(INDEX($J$9:$J$96,MATCH(G34,$A$9:$A$96,0)),0),IFERROR(INDEX($J$9:$J$96,MATCH(H34,$A$9:$A$96,0)),0)),1))</f>
        <v>46329</v>
      </c>
      <c r="J34" s="18" t="n">
        <f aca="false">com.sun.star.sheet.addin.Analysis.getWorkday(I34,D34-1)</f>
        <v>46332</v>
      </c>
      <c r="K34" s="19" t="n">
        <v>0</v>
      </c>
      <c r="L34" s="17" t="s">
        <v>69</v>
      </c>
      <c r="M34" s="20"/>
      <c r="N34" s="21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customFormat="false" ht="15" hidden="false" customHeight="false" outlineLevel="0" collapsed="false">
      <c r="A35" s="15" t="s">
        <v>80</v>
      </c>
      <c r="B35" s="15" t="s">
        <v>8</v>
      </c>
      <c r="C35" s="16" t="s">
        <v>81</v>
      </c>
      <c r="D35" s="17" t="n">
        <v>2</v>
      </c>
      <c r="E35" s="17" t="s">
        <v>78</v>
      </c>
      <c r="F35" s="17" t="s">
        <v>70</v>
      </c>
      <c r="G35" s="17"/>
      <c r="H35" s="17"/>
      <c r="I35" s="18" t="n">
        <f aca="false">MAX($D$3,com.sun.star.sheet.addin.Analysis.getWorkday(MAX(IFERROR(INDEX($J$9:$J$96,MATCH(E35,$A$9:$A$96,0)),0),IFERROR(INDEX($J$9:$J$96,MATCH(F35,$A$9:$A$96,0)),0),IFERROR(INDEX($J$9:$J$96,MATCH(G35,$A$9:$A$96,0)),0),IFERROR(INDEX($J$9:$J$96,MATCH(H35,$A$9:$A$96,0)),0)),1))</f>
        <v>46335</v>
      </c>
      <c r="J35" s="18" t="n">
        <f aca="false">com.sun.star.sheet.addin.Analysis.getWorkday(I35,D35-1)</f>
        <v>46336</v>
      </c>
      <c r="K35" s="19" t="n">
        <v>0</v>
      </c>
      <c r="L35" s="17" t="s">
        <v>69</v>
      </c>
      <c r="M35" s="20"/>
      <c r="N35" s="21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customFormat="false" ht="15" hidden="false" customHeight="false" outlineLevel="0" collapsed="false">
      <c r="A36" s="22" t="s">
        <v>82</v>
      </c>
      <c r="B36" s="22" t="s">
        <v>38</v>
      </c>
      <c r="C36" s="23" t="s">
        <v>83</v>
      </c>
      <c r="D36" s="22" t="n">
        <v>0</v>
      </c>
      <c r="E36" s="17" t="s">
        <v>80</v>
      </c>
      <c r="F36" s="17"/>
      <c r="G36" s="17"/>
      <c r="H36" s="17"/>
      <c r="I36" s="24" t="n">
        <f aca="false">MAX($D$3,MAX(IFERROR(INDEX($J$9:$J$96,MATCH(E36,$A$9:$A$96,0)),0),IFERROR(INDEX($J$9:$J$96,MATCH(F36,$A$9:$A$96,0)),0),IFERROR(INDEX($J$9:$J$96,MATCH(G36,$A$9:$A$96,0)),0),IFERROR(INDEX($J$9:$J$96,MATCH(H36,$A$9:$A$96,0)),0)))</f>
        <v>46336</v>
      </c>
      <c r="J36" s="24" t="n">
        <f aca="false">I36</f>
        <v>46336</v>
      </c>
      <c r="K36" s="25"/>
      <c r="L36" s="22"/>
      <c r="M36" s="26"/>
      <c r="N36" s="26" t="s">
        <v>84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customFormat="false" ht="15" hidden="false" customHeight="false" outlineLevel="0" collapsed="false">
      <c r="A37" s="15" t="s">
        <v>85</v>
      </c>
      <c r="B37" s="15" t="s">
        <v>8</v>
      </c>
      <c r="C37" s="16" t="s">
        <v>86</v>
      </c>
      <c r="D37" s="17" t="n">
        <v>4</v>
      </c>
      <c r="E37" s="17" t="s">
        <v>82</v>
      </c>
      <c r="F37" s="17" t="s">
        <v>67</v>
      </c>
      <c r="G37" s="17"/>
      <c r="H37" s="17"/>
      <c r="I37" s="18" t="n">
        <f aca="false">MAX($D$3,com.sun.star.sheet.addin.Analysis.getWorkday(MAX(IFERROR(INDEX($J$9:$J$96,MATCH(E37,$A$9:$A$96,0)),0),IFERROR(INDEX($J$9:$J$96,MATCH(F37,$A$9:$A$96,0)),0),IFERROR(INDEX($J$9:$J$96,MATCH(G37,$A$9:$A$96,0)),0),IFERROR(INDEX($J$9:$J$96,MATCH(H37,$A$9:$A$96,0)),0)),1))</f>
        <v>46337</v>
      </c>
      <c r="J37" s="18" t="n">
        <f aca="false">com.sun.star.sheet.addin.Analysis.getWorkday(I37,D37-1)</f>
        <v>46342</v>
      </c>
      <c r="K37" s="19" t="n">
        <v>0</v>
      </c>
      <c r="L37" s="17" t="s">
        <v>69</v>
      </c>
      <c r="M37" s="20"/>
      <c r="N37" s="21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customFormat="false" ht="15" hidden="false" customHeight="false" outlineLevel="0" collapsed="false">
      <c r="A38" s="15" t="s">
        <v>87</v>
      </c>
      <c r="B38" s="15" t="s">
        <v>8</v>
      </c>
      <c r="C38" s="16" t="s">
        <v>88</v>
      </c>
      <c r="D38" s="17" t="n">
        <v>3</v>
      </c>
      <c r="E38" s="17" t="s">
        <v>82</v>
      </c>
      <c r="F38" s="17" t="s">
        <v>31</v>
      </c>
      <c r="G38" s="17"/>
      <c r="H38" s="17"/>
      <c r="I38" s="18" t="n">
        <f aca="false">MAX($D$3,com.sun.star.sheet.addin.Analysis.getWorkday(MAX(IFERROR(INDEX($J$9:$J$96,MATCH(E38,$A$9:$A$96,0)),0),IFERROR(INDEX($J$9:$J$96,MATCH(F38,$A$9:$A$96,0)),0),IFERROR(INDEX($J$9:$J$96,MATCH(G38,$A$9:$A$96,0)),0),IFERROR(INDEX($J$9:$J$96,MATCH(H38,$A$9:$A$96,0)),0)),1))</f>
        <v>46337</v>
      </c>
      <c r="J38" s="18" t="n">
        <f aca="false">com.sun.star.sheet.addin.Analysis.getWorkday(I38,D38-1)</f>
        <v>46339</v>
      </c>
      <c r="K38" s="19" t="n">
        <v>0</v>
      </c>
      <c r="L38" s="17" t="s">
        <v>69</v>
      </c>
      <c r="M38" s="20"/>
      <c r="N38" s="21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customFormat="false" ht="15" hidden="false" customHeight="false" outlineLevel="0" collapsed="false">
      <c r="A39" s="15" t="s">
        <v>89</v>
      </c>
      <c r="B39" s="15" t="s">
        <v>8</v>
      </c>
      <c r="C39" s="16" t="s">
        <v>90</v>
      </c>
      <c r="D39" s="17" t="n">
        <v>2</v>
      </c>
      <c r="E39" s="17" t="s">
        <v>85</v>
      </c>
      <c r="F39" s="17"/>
      <c r="G39" s="17"/>
      <c r="H39" s="17"/>
      <c r="I39" s="18" t="n">
        <f aca="false">MAX($D$3,com.sun.star.sheet.addin.Analysis.getWorkday(MAX(IFERROR(INDEX($J$9:$J$96,MATCH(E39,$A$9:$A$96,0)),0),IFERROR(INDEX($J$9:$J$96,MATCH(F39,$A$9:$A$96,0)),0),IFERROR(INDEX($J$9:$J$96,MATCH(G39,$A$9:$A$96,0)),0),IFERROR(INDEX($J$9:$J$96,MATCH(H39,$A$9:$A$96,0)),0)),1))</f>
        <v>46343</v>
      </c>
      <c r="J39" s="18" t="n">
        <f aca="false">com.sun.star.sheet.addin.Analysis.getWorkday(I39,D39-1)</f>
        <v>46344</v>
      </c>
      <c r="K39" s="19" t="n">
        <v>0</v>
      </c>
      <c r="L39" s="17" t="s">
        <v>69</v>
      </c>
      <c r="M39" s="20"/>
      <c r="N39" s="21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customFormat="false" ht="15" hidden="false" customHeight="false" outlineLevel="0" collapsed="false">
      <c r="A40" s="27" t="s">
        <v>91</v>
      </c>
      <c r="B40" s="27" t="s">
        <v>57</v>
      </c>
      <c r="C40" s="28" t="s">
        <v>92</v>
      </c>
      <c r="D40" s="27" t="n">
        <f aca="false">NETWORKDAYS(I40,J40)</f>
        <v>11</v>
      </c>
      <c r="E40" s="27"/>
      <c r="F40" s="27"/>
      <c r="G40" s="27"/>
      <c r="H40" s="27"/>
      <c r="I40" s="29" t="n">
        <f aca="false">MIN(I41:I45)</f>
        <v>46337</v>
      </c>
      <c r="J40" s="29" t="n">
        <f aca="false">MAX(J41:J45)</f>
        <v>46351</v>
      </c>
      <c r="K40" s="30" t="n">
        <f aca="false">IFERROR(SUMPRODUCT(($B41:$B45="Tâche")*$D41:$D45*$K41:$K45)/SUMPRODUCT(($B41:$B45="Tâche")*$D41:$D45),0)</f>
        <v>0</v>
      </c>
      <c r="L40" s="27" t="str">
        <f aca="false">IF(K40&gt;=1,"Terminé",IF(K40&gt;0,"En cours","À faire"))</f>
        <v>À faire</v>
      </c>
      <c r="M40" s="31"/>
      <c r="N40" s="31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customFormat="false" ht="15" hidden="false" customHeight="false" outlineLevel="0" collapsed="false">
      <c r="A41" s="15" t="s">
        <v>93</v>
      </c>
      <c r="B41" s="15" t="s">
        <v>8</v>
      </c>
      <c r="C41" s="16" t="s">
        <v>94</v>
      </c>
      <c r="D41" s="17" t="n">
        <v>3</v>
      </c>
      <c r="E41" s="17" t="s">
        <v>82</v>
      </c>
      <c r="F41" s="17" t="s">
        <v>44</v>
      </c>
      <c r="G41" s="17"/>
      <c r="H41" s="17"/>
      <c r="I41" s="18" t="n">
        <f aca="false">MAX($D$3,com.sun.star.sheet.addin.Analysis.getWorkday(MAX(IFERROR(INDEX($J$9:$J$96,MATCH(E41,$A$9:$A$96,0)),0),IFERROR(INDEX($J$9:$J$96,MATCH(F41,$A$9:$A$96,0)),0),IFERROR(INDEX($J$9:$J$96,MATCH(G41,$A$9:$A$96,0)),0),IFERROR(INDEX($J$9:$J$96,MATCH(H41,$A$9:$A$96,0)),0)),1))</f>
        <v>46337</v>
      </c>
      <c r="J41" s="18" t="n">
        <f aca="false">com.sun.star.sheet.addin.Analysis.getWorkday(I41,D41-1)</f>
        <v>46339</v>
      </c>
      <c r="K41" s="19" t="n">
        <v>0</v>
      </c>
      <c r="L41" s="17" t="s">
        <v>69</v>
      </c>
      <c r="M41" s="20"/>
      <c r="N41" s="21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customFormat="false" ht="15" hidden="false" customHeight="false" outlineLevel="0" collapsed="false">
      <c r="A42" s="15" t="s">
        <v>95</v>
      </c>
      <c r="B42" s="15" t="s">
        <v>8</v>
      </c>
      <c r="C42" s="16" t="s">
        <v>96</v>
      </c>
      <c r="D42" s="17" t="n">
        <v>3</v>
      </c>
      <c r="E42" s="17" t="s">
        <v>82</v>
      </c>
      <c r="F42" s="17" t="s">
        <v>46</v>
      </c>
      <c r="G42" s="17"/>
      <c r="H42" s="17"/>
      <c r="I42" s="18" t="n">
        <f aca="false">MAX($D$3,com.sun.star.sheet.addin.Analysis.getWorkday(MAX(IFERROR(INDEX($J$9:$J$96,MATCH(E42,$A$9:$A$96,0)),0),IFERROR(INDEX($J$9:$J$96,MATCH(F42,$A$9:$A$96,0)),0),IFERROR(INDEX($J$9:$J$96,MATCH(G42,$A$9:$A$96,0)),0),IFERROR(INDEX($J$9:$J$96,MATCH(H42,$A$9:$A$96,0)),0)),1))</f>
        <v>46337</v>
      </c>
      <c r="J42" s="18" t="n">
        <f aca="false">com.sun.star.sheet.addin.Analysis.getWorkday(I42,D42-1)</f>
        <v>46339</v>
      </c>
      <c r="K42" s="19" t="n">
        <v>0</v>
      </c>
      <c r="L42" s="17" t="s">
        <v>69</v>
      </c>
      <c r="M42" s="20"/>
      <c r="N42" s="21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customFormat="false" ht="15" hidden="false" customHeight="false" outlineLevel="0" collapsed="false">
      <c r="A43" s="15" t="s">
        <v>97</v>
      </c>
      <c r="B43" s="15" t="s">
        <v>8</v>
      </c>
      <c r="C43" s="16" t="s">
        <v>98</v>
      </c>
      <c r="D43" s="17" t="n">
        <v>5</v>
      </c>
      <c r="E43" s="17" t="s">
        <v>95</v>
      </c>
      <c r="F43" s="17"/>
      <c r="G43" s="17"/>
      <c r="H43" s="17"/>
      <c r="I43" s="18" t="n">
        <f aca="false">MAX($D$3,com.sun.star.sheet.addin.Analysis.getWorkday(MAX(IFERROR(INDEX($J$9:$J$96,MATCH(E43,$A$9:$A$96,0)),0),IFERROR(INDEX($J$9:$J$96,MATCH(F43,$A$9:$A$96,0)),0),IFERROR(INDEX($J$9:$J$96,MATCH(G43,$A$9:$A$96,0)),0),IFERROR(INDEX($J$9:$J$96,MATCH(H43,$A$9:$A$96,0)),0)),1))</f>
        <v>46342</v>
      </c>
      <c r="J43" s="18" t="n">
        <f aca="false">com.sun.star.sheet.addin.Analysis.getWorkday(I43,D43-1)</f>
        <v>46346</v>
      </c>
      <c r="K43" s="19" t="n">
        <v>0</v>
      </c>
      <c r="L43" s="17" t="s">
        <v>69</v>
      </c>
      <c r="M43" s="20"/>
      <c r="N43" s="21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customFormat="false" ht="15" hidden="false" customHeight="false" outlineLevel="0" collapsed="false">
      <c r="A44" s="15" t="s">
        <v>99</v>
      </c>
      <c r="B44" s="15" t="s">
        <v>8</v>
      </c>
      <c r="C44" s="16" t="s">
        <v>100</v>
      </c>
      <c r="D44" s="17" t="n">
        <v>2</v>
      </c>
      <c r="E44" s="17" t="s">
        <v>82</v>
      </c>
      <c r="F44" s="17"/>
      <c r="G44" s="17"/>
      <c r="H44" s="17"/>
      <c r="I44" s="18" t="n">
        <f aca="false">MAX($D$3,com.sun.star.sheet.addin.Analysis.getWorkday(MAX(IFERROR(INDEX($J$9:$J$96,MATCH(E44,$A$9:$A$96,0)),0),IFERROR(INDEX($J$9:$J$96,MATCH(F44,$A$9:$A$96,0)),0),IFERROR(INDEX($J$9:$J$96,MATCH(G44,$A$9:$A$96,0)),0),IFERROR(INDEX($J$9:$J$96,MATCH(H44,$A$9:$A$96,0)),0)),1))</f>
        <v>46337</v>
      </c>
      <c r="J44" s="18" t="n">
        <f aca="false">com.sun.star.sheet.addin.Analysis.getWorkday(I44,D44-1)</f>
        <v>46338</v>
      </c>
      <c r="K44" s="19" t="n">
        <v>0</v>
      </c>
      <c r="L44" s="17" t="s">
        <v>69</v>
      </c>
      <c r="M44" s="20"/>
      <c r="N44" s="21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customFormat="false" ht="15" hidden="false" customHeight="false" outlineLevel="0" collapsed="false">
      <c r="A45" s="15" t="s">
        <v>101</v>
      </c>
      <c r="B45" s="15" t="s">
        <v>8</v>
      </c>
      <c r="C45" s="16" t="s">
        <v>102</v>
      </c>
      <c r="D45" s="17" t="n">
        <v>3</v>
      </c>
      <c r="E45" s="17" t="s">
        <v>97</v>
      </c>
      <c r="F45" s="17"/>
      <c r="G45" s="17"/>
      <c r="H45" s="17"/>
      <c r="I45" s="18" t="n">
        <f aca="false">MAX($D$3,com.sun.star.sheet.addin.Analysis.getWorkday(MAX(IFERROR(INDEX($J$9:$J$96,MATCH(E45,$A$9:$A$96,0)),0),IFERROR(INDEX($J$9:$J$96,MATCH(F45,$A$9:$A$96,0)),0),IFERROR(INDEX($J$9:$J$96,MATCH(G45,$A$9:$A$96,0)),0),IFERROR(INDEX($J$9:$J$96,MATCH(H45,$A$9:$A$96,0)),0)),1))</f>
        <v>46349</v>
      </c>
      <c r="J45" s="18" t="n">
        <f aca="false">com.sun.star.sheet.addin.Analysis.getWorkday(I45,D45-1)</f>
        <v>46351</v>
      </c>
      <c r="K45" s="19" t="n">
        <v>0</v>
      </c>
      <c r="L45" s="17" t="s">
        <v>69</v>
      </c>
      <c r="M45" s="20"/>
      <c r="N45" s="21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customFormat="false" ht="15" hidden="false" customHeight="false" outlineLevel="0" collapsed="false">
      <c r="A46" s="27" t="s">
        <v>103</v>
      </c>
      <c r="B46" s="27" t="s">
        <v>57</v>
      </c>
      <c r="C46" s="28" t="s">
        <v>104</v>
      </c>
      <c r="D46" s="27" t="n">
        <f aca="false">NETWORKDAYS(I46,J46)</f>
        <v>4</v>
      </c>
      <c r="E46" s="27"/>
      <c r="F46" s="27"/>
      <c r="G46" s="27"/>
      <c r="H46" s="27"/>
      <c r="I46" s="29" t="n">
        <f aca="false">MIN(I47:I49)</f>
        <v>46315</v>
      </c>
      <c r="J46" s="29" t="n">
        <f aca="false">MAX(J47:J49)</f>
        <v>46318</v>
      </c>
      <c r="K46" s="30" t="n">
        <f aca="false">IFERROR(SUMPRODUCT(($B47:$B49="Tâche")*$D47:$D49*$K47:$K49)/SUMPRODUCT(($B47:$B49="Tâche")*$D47:$D49),0)</f>
        <v>0</v>
      </c>
      <c r="L46" s="27" t="str">
        <f aca="false">IF(K46&gt;=1,"Terminé",IF(K46&gt;0,"En cours","À faire"))</f>
        <v>À faire</v>
      </c>
      <c r="M46" s="31"/>
      <c r="N46" s="31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customFormat="false" ht="15" hidden="false" customHeight="false" outlineLevel="0" collapsed="false">
      <c r="A47" s="15" t="s">
        <v>105</v>
      </c>
      <c r="B47" s="15" t="s">
        <v>8</v>
      </c>
      <c r="C47" s="16" t="s">
        <v>106</v>
      </c>
      <c r="D47" s="17" t="n">
        <v>1</v>
      </c>
      <c r="E47" s="17" t="s">
        <v>48</v>
      </c>
      <c r="F47" s="17"/>
      <c r="G47" s="17"/>
      <c r="H47" s="17"/>
      <c r="I47" s="18" t="n">
        <f aca="false">MAX($D$3,com.sun.star.sheet.addin.Analysis.getWorkday(MAX(IFERROR(INDEX($J$9:$J$96,MATCH(E47,$A$9:$A$96,0)),0),IFERROR(INDEX($J$9:$J$96,MATCH(F47,$A$9:$A$96,0)),0),IFERROR(INDEX($J$9:$J$96,MATCH(G47,$A$9:$A$96,0)),0),IFERROR(INDEX($J$9:$J$96,MATCH(H47,$A$9:$A$96,0)),0)),1))</f>
        <v>46315</v>
      </c>
      <c r="J47" s="18" t="n">
        <f aca="false">com.sun.star.sheet.addin.Analysis.getWorkday(I47,D47-1)</f>
        <v>46315</v>
      </c>
      <c r="K47" s="19" t="n">
        <v>0</v>
      </c>
      <c r="L47" s="17" t="s">
        <v>69</v>
      </c>
      <c r="M47" s="20"/>
      <c r="N47" s="21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customFormat="false" ht="15" hidden="false" customHeight="false" outlineLevel="0" collapsed="false">
      <c r="A48" s="15" t="s">
        <v>107</v>
      </c>
      <c r="B48" s="15" t="s">
        <v>8</v>
      </c>
      <c r="C48" s="16" t="s">
        <v>108</v>
      </c>
      <c r="D48" s="17" t="n">
        <v>3</v>
      </c>
      <c r="E48" s="17" t="s">
        <v>46</v>
      </c>
      <c r="F48" s="17" t="s">
        <v>26</v>
      </c>
      <c r="G48" s="17"/>
      <c r="H48" s="17"/>
      <c r="I48" s="18" t="n">
        <f aca="false">MAX($D$3,com.sun.star.sheet.addin.Analysis.getWorkday(MAX(IFERROR(INDEX($J$9:$J$96,MATCH(E48,$A$9:$A$96,0)),0),IFERROR(INDEX($J$9:$J$96,MATCH(F48,$A$9:$A$96,0)),0),IFERROR(INDEX($J$9:$J$96,MATCH(G48,$A$9:$A$96,0)),0),IFERROR(INDEX($J$9:$J$96,MATCH(H48,$A$9:$A$96,0)),0)),1))</f>
        <v>46315</v>
      </c>
      <c r="J48" s="18" t="n">
        <f aca="false">com.sun.star.sheet.addin.Analysis.getWorkday(I48,D48-1)</f>
        <v>46317</v>
      </c>
      <c r="K48" s="19" t="n">
        <v>0</v>
      </c>
      <c r="L48" s="17" t="s">
        <v>69</v>
      </c>
      <c r="M48" s="20"/>
      <c r="N48" s="21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customFormat="false" ht="15" hidden="false" customHeight="false" outlineLevel="0" collapsed="false">
      <c r="A49" s="15" t="s">
        <v>109</v>
      </c>
      <c r="B49" s="15" t="s">
        <v>8</v>
      </c>
      <c r="C49" s="16" t="s">
        <v>110</v>
      </c>
      <c r="D49" s="17" t="n">
        <v>4</v>
      </c>
      <c r="E49" s="17" t="s">
        <v>46</v>
      </c>
      <c r="F49" s="17"/>
      <c r="G49" s="17"/>
      <c r="H49" s="17"/>
      <c r="I49" s="18" t="n">
        <f aca="false">MAX($D$3,com.sun.star.sheet.addin.Analysis.getWorkday(MAX(IFERROR(INDEX($J$9:$J$96,MATCH(E49,$A$9:$A$96,0)),0),IFERROR(INDEX($J$9:$J$96,MATCH(F49,$A$9:$A$96,0)),0),IFERROR(INDEX($J$9:$J$96,MATCH(G49,$A$9:$A$96,0)),0),IFERROR(INDEX($J$9:$J$96,MATCH(H49,$A$9:$A$96,0)),0)),1))</f>
        <v>46315</v>
      </c>
      <c r="J49" s="18" t="n">
        <f aca="false">com.sun.star.sheet.addin.Analysis.getWorkday(I49,D49-1)</f>
        <v>46318</v>
      </c>
      <c r="K49" s="19" t="n">
        <v>0</v>
      </c>
      <c r="L49" s="17" t="s">
        <v>69</v>
      </c>
      <c r="M49" s="20"/>
      <c r="N49" s="21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customFormat="false" ht="15" hidden="false" customHeight="false" outlineLevel="0" collapsed="false">
      <c r="A50" s="27" t="s">
        <v>111</v>
      </c>
      <c r="B50" s="27" t="s">
        <v>57</v>
      </c>
      <c r="C50" s="28" t="s">
        <v>112</v>
      </c>
      <c r="D50" s="27" t="n">
        <f aca="false">NETWORKDAYS(I50,J50)</f>
        <v>5</v>
      </c>
      <c r="E50" s="27"/>
      <c r="F50" s="27"/>
      <c r="G50" s="27"/>
      <c r="H50" s="27"/>
      <c r="I50" s="29" t="n">
        <f aca="false">MIN(I51:I53)</f>
        <v>46349</v>
      </c>
      <c r="J50" s="29" t="n">
        <f aca="false">MAX(J51:J53)</f>
        <v>46353</v>
      </c>
      <c r="K50" s="30" t="n">
        <f aca="false">IFERROR(SUMPRODUCT(($B51:$B53="Tâche")*$D51:$D53*$K51:$K53)/SUMPRODUCT(($B51:$B53="Tâche")*$D51:$D53),0)</f>
        <v>0</v>
      </c>
      <c r="L50" s="27" t="str">
        <f aca="false">IF(K50&gt;=1,"Terminé",IF(K50&gt;0,"En cours","À faire"))</f>
        <v>À faire</v>
      </c>
      <c r="M50" s="31"/>
      <c r="N50" s="31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customFormat="false" ht="15" hidden="false" customHeight="false" outlineLevel="0" collapsed="false">
      <c r="A51" s="15" t="s">
        <v>113</v>
      </c>
      <c r="B51" s="15" t="s">
        <v>8</v>
      </c>
      <c r="C51" s="16" t="s">
        <v>114</v>
      </c>
      <c r="D51" s="17" t="n">
        <v>3</v>
      </c>
      <c r="E51" s="17" t="s">
        <v>97</v>
      </c>
      <c r="F51" s="17" t="s">
        <v>85</v>
      </c>
      <c r="G51" s="17"/>
      <c r="H51" s="17"/>
      <c r="I51" s="18" t="n">
        <f aca="false">MAX($D$3,com.sun.star.sheet.addin.Analysis.getWorkday(MAX(IFERROR(INDEX($J$9:$J$96,MATCH(E51,$A$9:$A$96,0)),0),IFERROR(INDEX($J$9:$J$96,MATCH(F51,$A$9:$A$96,0)),0),IFERROR(INDEX($J$9:$J$96,MATCH(G51,$A$9:$A$96,0)),0),IFERROR(INDEX($J$9:$J$96,MATCH(H51,$A$9:$A$96,0)),0)),1))</f>
        <v>46349</v>
      </c>
      <c r="J51" s="18" t="n">
        <f aca="false">com.sun.star.sheet.addin.Analysis.getWorkday(I51,D51-1)</f>
        <v>46351</v>
      </c>
      <c r="K51" s="19" t="n">
        <v>0</v>
      </c>
      <c r="L51" s="17" t="s">
        <v>69</v>
      </c>
      <c r="M51" s="20"/>
      <c r="N51" s="21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customFormat="false" ht="15" hidden="false" customHeight="false" outlineLevel="0" collapsed="false">
      <c r="A52" s="15" t="s">
        <v>115</v>
      </c>
      <c r="B52" s="15" t="s">
        <v>8</v>
      </c>
      <c r="C52" s="16" t="s">
        <v>116</v>
      </c>
      <c r="D52" s="17" t="n">
        <v>2</v>
      </c>
      <c r="E52" s="17" t="s">
        <v>113</v>
      </c>
      <c r="F52" s="17"/>
      <c r="G52" s="17"/>
      <c r="H52" s="17"/>
      <c r="I52" s="18" t="n">
        <f aca="false">MAX($D$3,com.sun.star.sheet.addin.Analysis.getWorkday(MAX(IFERROR(INDEX($J$9:$J$96,MATCH(E52,$A$9:$A$96,0)),0),IFERROR(INDEX($J$9:$J$96,MATCH(F52,$A$9:$A$96,0)),0),IFERROR(INDEX($J$9:$J$96,MATCH(G52,$A$9:$A$96,0)),0),IFERROR(INDEX($J$9:$J$96,MATCH(H52,$A$9:$A$96,0)),0)),1))</f>
        <v>46352</v>
      </c>
      <c r="J52" s="18" t="n">
        <f aca="false">com.sun.star.sheet.addin.Analysis.getWorkday(I52,D52-1)</f>
        <v>46353</v>
      </c>
      <c r="K52" s="19" t="n">
        <v>0</v>
      </c>
      <c r="L52" s="17" t="s">
        <v>69</v>
      </c>
      <c r="M52" s="20"/>
      <c r="N52" s="21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customFormat="false" ht="15" hidden="false" customHeight="false" outlineLevel="0" collapsed="false">
      <c r="A53" s="15" t="s">
        <v>117</v>
      </c>
      <c r="B53" s="15" t="s">
        <v>8</v>
      </c>
      <c r="C53" s="16" t="s">
        <v>118</v>
      </c>
      <c r="D53" s="17" t="n">
        <v>2</v>
      </c>
      <c r="E53" s="17" t="s">
        <v>113</v>
      </c>
      <c r="F53" s="17"/>
      <c r="G53" s="17"/>
      <c r="H53" s="17"/>
      <c r="I53" s="18" t="n">
        <f aca="false">MAX($D$3,com.sun.star.sheet.addin.Analysis.getWorkday(MAX(IFERROR(INDEX($J$9:$J$96,MATCH(E53,$A$9:$A$96,0)),0),IFERROR(INDEX($J$9:$J$96,MATCH(F53,$A$9:$A$96,0)),0),IFERROR(INDEX($J$9:$J$96,MATCH(G53,$A$9:$A$96,0)),0),IFERROR(INDEX($J$9:$J$96,MATCH(H53,$A$9:$A$96,0)),0)),1))</f>
        <v>46352</v>
      </c>
      <c r="J53" s="18" t="n">
        <f aca="false">com.sun.star.sheet.addin.Analysis.getWorkday(I53,D53-1)</f>
        <v>46353</v>
      </c>
      <c r="K53" s="19" t="n">
        <v>0</v>
      </c>
      <c r="L53" s="17" t="s">
        <v>69</v>
      </c>
      <c r="M53" s="20"/>
      <c r="N53" s="21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customFormat="false" ht="15" hidden="false" customHeight="false" outlineLevel="0" collapsed="false">
      <c r="A54" s="27" t="s">
        <v>119</v>
      </c>
      <c r="B54" s="27" t="s">
        <v>57</v>
      </c>
      <c r="C54" s="28" t="s">
        <v>120</v>
      </c>
      <c r="D54" s="27" t="n">
        <f aca="false">NETWORKDAYS(I54,J54)</f>
        <v>32</v>
      </c>
      <c r="E54" s="27"/>
      <c r="F54" s="27"/>
      <c r="G54" s="27"/>
      <c r="H54" s="27"/>
      <c r="I54" s="29" t="n">
        <f aca="false">MIN(I55:I58)</f>
        <v>46315</v>
      </c>
      <c r="J54" s="29" t="n">
        <f aca="false">MAX(J55:J58)</f>
        <v>46358</v>
      </c>
      <c r="K54" s="30" t="n">
        <f aca="false">IFERROR(SUMPRODUCT(($B55:$B58="Tâche")*$D55:$D58*$K55:$K58)/SUMPRODUCT(($B55:$B58="Tâche")*$D55:$D58),0)</f>
        <v>0</v>
      </c>
      <c r="L54" s="27" t="str">
        <f aca="false">IF(K54&gt;=1,"Terminé",IF(K54&gt;0,"En cours","À faire"))</f>
        <v>À faire</v>
      </c>
      <c r="M54" s="31"/>
      <c r="N54" s="31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customFormat="false" ht="15" hidden="false" customHeight="false" outlineLevel="0" collapsed="false">
      <c r="A55" s="15" t="s">
        <v>121</v>
      </c>
      <c r="B55" s="15" t="s">
        <v>8</v>
      </c>
      <c r="C55" s="16" t="s">
        <v>122</v>
      </c>
      <c r="D55" s="17" t="n">
        <v>4</v>
      </c>
      <c r="E55" s="17" t="s">
        <v>31</v>
      </c>
      <c r="F55" s="17" t="s">
        <v>48</v>
      </c>
      <c r="G55" s="17"/>
      <c r="H55" s="17"/>
      <c r="I55" s="18" t="n">
        <f aca="false">MAX($D$3,com.sun.star.sheet.addin.Analysis.getWorkday(MAX(IFERROR(INDEX($J$9:$J$96,MATCH(E55,$A$9:$A$96,0)),0),IFERROR(INDEX($J$9:$J$96,MATCH(F55,$A$9:$A$96,0)),0),IFERROR(INDEX($J$9:$J$96,MATCH(G55,$A$9:$A$96,0)),0),IFERROR(INDEX($J$9:$J$96,MATCH(H55,$A$9:$A$96,0)),0)),1))</f>
        <v>46315</v>
      </c>
      <c r="J55" s="18" t="n">
        <f aca="false">com.sun.star.sheet.addin.Analysis.getWorkday(I55,D55-1)</f>
        <v>46318</v>
      </c>
      <c r="K55" s="19" t="n">
        <v>0</v>
      </c>
      <c r="L55" s="17" t="s">
        <v>69</v>
      </c>
      <c r="M55" s="20"/>
      <c r="N55" s="21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customFormat="false" ht="15" hidden="false" customHeight="false" outlineLevel="0" collapsed="false">
      <c r="A56" s="15" t="s">
        <v>123</v>
      </c>
      <c r="B56" s="15" t="s">
        <v>8</v>
      </c>
      <c r="C56" s="16" t="s">
        <v>124</v>
      </c>
      <c r="D56" s="17" t="n">
        <v>7</v>
      </c>
      <c r="E56" s="17" t="s">
        <v>121</v>
      </c>
      <c r="F56" s="17"/>
      <c r="G56" s="17"/>
      <c r="H56" s="17"/>
      <c r="I56" s="18" t="n">
        <f aca="false">MAX($D$3,com.sun.star.sheet.addin.Analysis.getWorkday(MAX(IFERROR(INDEX($J$9:$J$96,MATCH(E56,$A$9:$A$96,0)),0),IFERROR(INDEX($J$9:$J$96,MATCH(F56,$A$9:$A$96,0)),0),IFERROR(INDEX($J$9:$J$96,MATCH(G56,$A$9:$A$96,0)),0),IFERROR(INDEX($J$9:$J$96,MATCH(H56,$A$9:$A$96,0)),0)),1))</f>
        <v>46321</v>
      </c>
      <c r="J56" s="18" t="n">
        <f aca="false">com.sun.star.sheet.addin.Analysis.getWorkday(I56,D56-1)</f>
        <v>46329</v>
      </c>
      <c r="K56" s="19" t="n">
        <v>0</v>
      </c>
      <c r="L56" s="17" t="s">
        <v>69</v>
      </c>
      <c r="M56" s="20"/>
      <c r="N56" s="21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customFormat="false" ht="15" hidden="false" customHeight="false" outlineLevel="0" collapsed="false">
      <c r="A57" s="15" t="s">
        <v>125</v>
      </c>
      <c r="B57" s="15" t="s">
        <v>8</v>
      </c>
      <c r="C57" s="16" t="s">
        <v>126</v>
      </c>
      <c r="D57" s="17" t="n">
        <v>2</v>
      </c>
      <c r="E57" s="17" t="s">
        <v>123</v>
      </c>
      <c r="F57" s="17" t="s">
        <v>107</v>
      </c>
      <c r="G57" s="17" t="s">
        <v>109</v>
      </c>
      <c r="H57" s="17"/>
      <c r="I57" s="18" t="n">
        <f aca="false">MAX($D$3,com.sun.star.sheet.addin.Analysis.getWorkday(MAX(IFERROR(INDEX($J$9:$J$96,MATCH(E57,$A$9:$A$96,0)),0),IFERROR(INDEX($J$9:$J$96,MATCH(F57,$A$9:$A$96,0)),0),IFERROR(INDEX($J$9:$J$96,MATCH(G57,$A$9:$A$96,0)),0),IFERROR(INDEX($J$9:$J$96,MATCH(H57,$A$9:$A$96,0)),0)),1))</f>
        <v>46330</v>
      </c>
      <c r="J57" s="18" t="n">
        <f aca="false">com.sun.star.sheet.addin.Analysis.getWorkday(I57,D57-1)</f>
        <v>46331</v>
      </c>
      <c r="K57" s="19" t="n">
        <v>0</v>
      </c>
      <c r="L57" s="17" t="s">
        <v>69</v>
      </c>
      <c r="M57" s="20"/>
      <c r="N57" s="21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="40" customFormat="true" ht="15" hidden="false" customHeight="false" outlineLevel="0" collapsed="false">
      <c r="A58" s="32" t="s">
        <v>127</v>
      </c>
      <c r="B58" s="32" t="s">
        <v>8</v>
      </c>
      <c r="C58" s="33" t="s">
        <v>128</v>
      </c>
      <c r="D58" s="34" t="n">
        <v>3</v>
      </c>
      <c r="E58" s="34" t="s">
        <v>123</v>
      </c>
      <c r="F58" s="34" t="s">
        <v>115</v>
      </c>
      <c r="G58" s="34"/>
      <c r="H58" s="34"/>
      <c r="I58" s="35" t="n">
        <f aca="false">MAX($D$3,com.sun.star.sheet.addin.Analysis.getWorkday(MAX(IFERROR(INDEX($J$9:$J$96,MATCH(E58,$A$9:$A$96,0)),0),IFERROR(INDEX($J$9:$J$96,MATCH(F58,$A$9:$A$96,0)),0),IFERROR(INDEX($J$9:$J$96,MATCH(G58,$A$9:$A$96,0)),0),IFERROR(INDEX($J$9:$J$96,MATCH(H58,$A$9:$A$96,0)),0)),1))</f>
        <v>46356</v>
      </c>
      <c r="J58" s="35" t="n">
        <f aca="false">com.sun.star.sheet.addin.Analysis.getWorkday(I58,D58-1)</f>
        <v>46358</v>
      </c>
      <c r="K58" s="36" t="n">
        <v>0</v>
      </c>
      <c r="L58" s="34" t="s">
        <v>69</v>
      </c>
      <c r="M58" s="37"/>
      <c r="N58" s="38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</row>
    <row r="59" customFormat="false" ht="15" hidden="false" customHeight="false" outlineLevel="0" collapsed="false">
      <c r="A59" s="27" t="s">
        <v>129</v>
      </c>
      <c r="B59" s="27" t="s">
        <v>57</v>
      </c>
      <c r="C59" s="28" t="s">
        <v>130</v>
      </c>
      <c r="D59" s="27" t="n">
        <f aca="false">NETWORKDAYS(I59,J59)</f>
        <v>6</v>
      </c>
      <c r="E59" s="27"/>
      <c r="F59" s="27"/>
      <c r="G59" s="27"/>
      <c r="H59" s="27"/>
      <c r="I59" s="29" t="n">
        <f aca="false">MIN(I60:I65)</f>
        <v>46356</v>
      </c>
      <c r="J59" s="29" t="n">
        <f aca="false">MAX(J60:J65)</f>
        <v>46363</v>
      </c>
      <c r="K59" s="30" t="n">
        <f aca="false">IFERROR(SUMPRODUCT(($B60:$B65="Tâche")*$D60:$D65*$K60:$K65)/SUMPRODUCT(($B60:$B65="Tâche")*$D60:$D65),0)</f>
        <v>0</v>
      </c>
      <c r="L59" s="27" t="str">
        <f aca="false">IF(K59&gt;=1,"Terminé",IF(K59&gt;0,"En cours","À faire"))</f>
        <v>À faire</v>
      </c>
      <c r="M59" s="31"/>
      <c r="N59" s="31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customFormat="false" ht="15" hidden="false" customHeight="false" outlineLevel="0" collapsed="false">
      <c r="A60" s="15" t="s">
        <v>131</v>
      </c>
      <c r="B60" s="15" t="s">
        <v>8</v>
      </c>
      <c r="C60" s="16" t="s">
        <v>132</v>
      </c>
      <c r="D60" s="17" t="n">
        <v>3</v>
      </c>
      <c r="E60" s="17" t="s">
        <v>115</v>
      </c>
      <c r="F60" s="17" t="s">
        <v>117</v>
      </c>
      <c r="G60" s="17" t="s">
        <v>101</v>
      </c>
      <c r="H60" s="17"/>
      <c r="I60" s="18" t="n">
        <f aca="false">MAX($D$3,com.sun.star.sheet.addin.Analysis.getWorkday(MAX(IFERROR(INDEX($J$9:$J$96,MATCH(E60,$A$9:$A$96,0)),0),IFERROR(INDEX($J$9:$J$96,MATCH(F60,$A$9:$A$96,0)),0),IFERROR(INDEX($J$9:$J$96,MATCH(G60,$A$9:$A$96,0)),0),IFERROR(INDEX($J$9:$J$96,MATCH(H60,$A$9:$A$96,0)),0)),1))</f>
        <v>46356</v>
      </c>
      <c r="J60" s="18" t="n">
        <f aca="false">com.sun.star.sheet.addin.Analysis.getWorkday(I60,D60-1)</f>
        <v>46358</v>
      </c>
      <c r="K60" s="19" t="n">
        <v>0</v>
      </c>
      <c r="L60" s="17" t="s">
        <v>69</v>
      </c>
      <c r="M60" s="20"/>
      <c r="N60" s="21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customFormat="false" ht="15" hidden="false" customHeight="false" outlineLevel="0" collapsed="false">
      <c r="A61" s="15" t="s">
        <v>133</v>
      </c>
      <c r="B61" s="15" t="s">
        <v>8</v>
      </c>
      <c r="C61" s="16" t="s">
        <v>134</v>
      </c>
      <c r="D61" s="17" t="n">
        <v>2</v>
      </c>
      <c r="E61" s="17" t="s">
        <v>131</v>
      </c>
      <c r="F61" s="17"/>
      <c r="G61" s="17"/>
      <c r="H61" s="17"/>
      <c r="I61" s="18" t="n">
        <f aca="false">MAX($D$3,com.sun.star.sheet.addin.Analysis.getWorkday(MAX(IFERROR(INDEX($J$9:$J$96,MATCH(E61,$A$9:$A$96,0)),0),IFERROR(INDEX($J$9:$J$96,MATCH(F61,$A$9:$A$96,0)),0),IFERROR(INDEX($J$9:$J$96,MATCH(G61,$A$9:$A$96,0)),0),IFERROR(INDEX($J$9:$J$96,MATCH(H61,$A$9:$A$96,0)),0)),1))</f>
        <v>46359</v>
      </c>
      <c r="J61" s="18" t="n">
        <f aca="false">com.sun.star.sheet.addin.Analysis.getWorkday(I61,D61-1)</f>
        <v>46360</v>
      </c>
      <c r="K61" s="19" t="n">
        <v>0</v>
      </c>
      <c r="L61" s="17" t="s">
        <v>69</v>
      </c>
      <c r="M61" s="20"/>
      <c r="N61" s="21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customFormat="false" ht="15" hidden="false" customHeight="false" outlineLevel="0" collapsed="false">
      <c r="A62" s="15" t="s">
        <v>135</v>
      </c>
      <c r="B62" s="15" t="s">
        <v>8</v>
      </c>
      <c r="C62" s="16" t="s">
        <v>136</v>
      </c>
      <c r="D62" s="17" t="n">
        <v>2</v>
      </c>
      <c r="E62" s="17" t="s">
        <v>131</v>
      </c>
      <c r="F62" s="17"/>
      <c r="G62" s="17"/>
      <c r="H62" s="17"/>
      <c r="I62" s="18" t="n">
        <f aca="false">MAX($D$3,com.sun.star.sheet.addin.Analysis.getWorkday(MAX(IFERROR(INDEX($J$9:$J$96,MATCH(E62,$A$9:$A$96,0)),0),IFERROR(INDEX($J$9:$J$96,MATCH(F62,$A$9:$A$96,0)),0),IFERROR(INDEX($J$9:$J$96,MATCH(G62,$A$9:$A$96,0)),0),IFERROR(INDEX($J$9:$J$96,MATCH(H62,$A$9:$A$96,0)),0)),1))</f>
        <v>46359</v>
      </c>
      <c r="J62" s="18" t="n">
        <f aca="false">com.sun.star.sheet.addin.Analysis.getWorkday(I62,D62-1)</f>
        <v>46360</v>
      </c>
      <c r="K62" s="19" t="n">
        <v>0</v>
      </c>
      <c r="L62" s="17" t="s">
        <v>69</v>
      </c>
      <c r="M62" s="20"/>
      <c r="N62" s="21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customFormat="false" ht="15" hidden="false" customHeight="false" outlineLevel="0" collapsed="false">
      <c r="A63" s="15" t="s">
        <v>137</v>
      </c>
      <c r="B63" s="15" t="s">
        <v>8</v>
      </c>
      <c r="C63" s="16" t="s">
        <v>138</v>
      </c>
      <c r="D63" s="17" t="n">
        <v>2</v>
      </c>
      <c r="E63" s="17" t="s">
        <v>131</v>
      </c>
      <c r="F63" s="17" t="s">
        <v>125</v>
      </c>
      <c r="G63" s="17"/>
      <c r="H63" s="17"/>
      <c r="I63" s="18" t="n">
        <f aca="false">MAX($D$3,com.sun.star.sheet.addin.Analysis.getWorkday(MAX(IFERROR(INDEX($J$9:$J$96,MATCH(E63,$A$9:$A$96,0)),0),IFERROR(INDEX($J$9:$J$96,MATCH(F63,$A$9:$A$96,0)),0),IFERROR(INDEX($J$9:$J$96,MATCH(G63,$A$9:$A$96,0)),0),IFERROR(INDEX($J$9:$J$96,MATCH(H63,$A$9:$A$96,0)),0)),1))</f>
        <v>46359</v>
      </c>
      <c r="J63" s="18" t="n">
        <f aca="false">com.sun.star.sheet.addin.Analysis.getWorkday(I63,D63-1)</f>
        <v>46360</v>
      </c>
      <c r="K63" s="19" t="n">
        <v>0</v>
      </c>
      <c r="L63" s="17" t="s">
        <v>69</v>
      </c>
      <c r="M63" s="20"/>
      <c r="N63" s="21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customFormat="false" ht="15" hidden="false" customHeight="false" outlineLevel="0" collapsed="false">
      <c r="A64" s="15" t="s">
        <v>139</v>
      </c>
      <c r="B64" s="15" t="s">
        <v>8</v>
      </c>
      <c r="C64" s="16" t="s">
        <v>140</v>
      </c>
      <c r="D64" s="17" t="n">
        <v>1</v>
      </c>
      <c r="E64" s="17" t="s">
        <v>133</v>
      </c>
      <c r="F64" s="17" t="s">
        <v>135</v>
      </c>
      <c r="G64" s="17" t="s">
        <v>137</v>
      </c>
      <c r="H64" s="17" t="s">
        <v>127</v>
      </c>
      <c r="I64" s="18" t="n">
        <f aca="false">MAX($D$3,com.sun.star.sheet.addin.Analysis.getWorkday(MAX(IFERROR(INDEX($J$9:$J$96,MATCH(E64,$A$9:$A$96,0)),0),IFERROR(INDEX($J$9:$J$96,MATCH(F64,$A$9:$A$96,0)),0),IFERROR(INDEX($J$9:$J$96,MATCH(G64,$A$9:$A$96,0)),0),IFERROR(INDEX($J$9:$J$96,MATCH(H64,$A$9:$A$96,0)),0)),1))</f>
        <v>46363</v>
      </c>
      <c r="J64" s="18" t="n">
        <f aca="false">com.sun.star.sheet.addin.Analysis.getWorkday(I64,D64-1)</f>
        <v>46363</v>
      </c>
      <c r="K64" s="19" t="n">
        <v>0</v>
      </c>
      <c r="L64" s="17" t="s">
        <v>69</v>
      </c>
      <c r="M64" s="20"/>
      <c r="N64" s="21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customFormat="false" ht="15" hidden="false" customHeight="false" outlineLevel="0" collapsed="false">
      <c r="A65" s="22" t="s">
        <v>141</v>
      </c>
      <c r="B65" s="22" t="s">
        <v>38</v>
      </c>
      <c r="C65" s="23" t="s">
        <v>142</v>
      </c>
      <c r="D65" s="22" t="n">
        <v>0</v>
      </c>
      <c r="E65" s="17" t="s">
        <v>139</v>
      </c>
      <c r="F65" s="17"/>
      <c r="G65" s="17"/>
      <c r="H65" s="17"/>
      <c r="I65" s="24" t="n">
        <f aca="false">MAX($D$3,MAX(IFERROR(INDEX($J$9:$J$96,MATCH(E65,$A$9:$A$96,0)),0),IFERROR(INDEX($J$9:$J$96,MATCH(F65,$A$9:$A$96,0)),0),IFERROR(INDEX($J$9:$J$96,MATCH(G65,$A$9:$A$96,0)),0),IFERROR(INDEX($J$9:$J$96,MATCH(H65,$A$9:$A$96,0)),0)))</f>
        <v>46363</v>
      </c>
      <c r="J65" s="24" t="n">
        <f aca="false">I65</f>
        <v>46363</v>
      </c>
      <c r="K65" s="25"/>
      <c r="L65" s="22"/>
      <c r="M65" s="26"/>
      <c r="N65" s="26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customFormat="false" ht="15" hidden="false" customHeight="false" outlineLevel="0" collapsed="false">
      <c r="A66" s="10" t="s">
        <v>143</v>
      </c>
      <c r="B66" s="10" t="s">
        <v>21</v>
      </c>
      <c r="C66" s="11" t="s">
        <v>144</v>
      </c>
      <c r="D66" s="10" t="n">
        <f aca="false">NETWORKDAYS(I66,J66)</f>
        <v>52</v>
      </c>
      <c r="E66" s="10"/>
      <c r="F66" s="10"/>
      <c r="G66" s="10"/>
      <c r="H66" s="10"/>
      <c r="I66" s="12" t="n">
        <f aca="false">MIN(I67:I74)</f>
        <v>46308</v>
      </c>
      <c r="J66" s="12" t="n">
        <f aca="false">MAX(J67:J74)</f>
        <v>46379</v>
      </c>
      <c r="K66" s="13" t="n">
        <f aca="false">IFERROR(SUMPRODUCT(($B67:$B74="Tâche")*$D67:$D74*$K67:$K74)/SUMPRODUCT(($B67:$B74="Tâche")*$D67:$D74),0)</f>
        <v>0</v>
      </c>
      <c r="L66" s="10" t="str">
        <f aca="false">IF(K66&gt;=1,"Terminé",IF(K66&gt;0,"En cours","À faire"))</f>
        <v>À faire</v>
      </c>
      <c r="M66" s="11"/>
      <c r="N66" s="11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customFormat="false" ht="15" hidden="false" customHeight="false" outlineLevel="0" collapsed="false">
      <c r="A67" s="15" t="s">
        <v>145</v>
      </c>
      <c r="B67" s="15" t="s">
        <v>8</v>
      </c>
      <c r="C67" s="16" t="s">
        <v>146</v>
      </c>
      <c r="D67" s="17" t="n">
        <v>3</v>
      </c>
      <c r="E67" s="17" t="s">
        <v>37</v>
      </c>
      <c r="F67" s="17"/>
      <c r="G67" s="17"/>
      <c r="H67" s="17"/>
      <c r="I67" s="18" t="n">
        <f aca="false">MAX($D$3,com.sun.star.sheet.addin.Analysis.getWorkday(MAX(IFERROR(INDEX($J$9:$J$96,MATCH(E67,$A$9:$A$96,0)),0),IFERROR(INDEX($J$9:$J$96,MATCH(F67,$A$9:$A$96,0)),0),IFERROR(INDEX($J$9:$J$96,MATCH(G67,$A$9:$A$96,0)),0),IFERROR(INDEX($J$9:$J$96,MATCH(H67,$A$9:$A$96,0)),0)),1))</f>
        <v>46308</v>
      </c>
      <c r="J67" s="18" t="n">
        <f aca="false">com.sun.star.sheet.addin.Analysis.getWorkday(I67,D67-1)</f>
        <v>46310</v>
      </c>
      <c r="K67" s="19" t="n">
        <v>0</v>
      </c>
      <c r="L67" s="17" t="s">
        <v>69</v>
      </c>
      <c r="M67" s="20"/>
      <c r="N67" s="21" t="s">
        <v>147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customFormat="false" ht="15" hidden="false" customHeight="false" outlineLevel="0" collapsed="false">
      <c r="A68" s="15" t="s">
        <v>148</v>
      </c>
      <c r="B68" s="15" t="s">
        <v>8</v>
      </c>
      <c r="C68" s="16" t="s">
        <v>149</v>
      </c>
      <c r="D68" s="17" t="n">
        <v>2</v>
      </c>
      <c r="E68" s="17" t="s">
        <v>145</v>
      </c>
      <c r="F68" s="17" t="s">
        <v>44</v>
      </c>
      <c r="G68" s="17"/>
      <c r="H68" s="17"/>
      <c r="I68" s="18" t="n">
        <f aca="false">MAX($D$3,com.sun.star.sheet.addin.Analysis.getWorkday(MAX(IFERROR(INDEX($J$9:$J$96,MATCH(E68,$A$9:$A$96,0)),0),IFERROR(INDEX($J$9:$J$96,MATCH(F68,$A$9:$A$96,0)),0),IFERROR(INDEX($J$9:$J$96,MATCH(G68,$A$9:$A$96,0)),0),IFERROR(INDEX($J$9:$J$96,MATCH(H68,$A$9:$A$96,0)),0)),1))</f>
        <v>46314</v>
      </c>
      <c r="J68" s="18" t="n">
        <f aca="false">com.sun.star.sheet.addin.Analysis.getWorkday(I68,D68-1)</f>
        <v>46315</v>
      </c>
      <c r="K68" s="19" t="n">
        <v>0</v>
      </c>
      <c r="L68" s="17" t="s">
        <v>69</v>
      </c>
      <c r="M68" s="20"/>
      <c r="N68" s="21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customFormat="false" ht="15" hidden="false" customHeight="false" outlineLevel="0" collapsed="false">
      <c r="A69" s="15" t="s">
        <v>150</v>
      </c>
      <c r="B69" s="15" t="s">
        <v>8</v>
      </c>
      <c r="C69" s="16" t="s">
        <v>151</v>
      </c>
      <c r="D69" s="17" t="n">
        <v>3</v>
      </c>
      <c r="E69" s="17" t="s">
        <v>148</v>
      </c>
      <c r="F69" s="17" t="s">
        <v>141</v>
      </c>
      <c r="G69" s="17"/>
      <c r="H69" s="17"/>
      <c r="I69" s="18" t="n">
        <f aca="false">MAX($D$3,com.sun.star.sheet.addin.Analysis.getWorkday(MAX(IFERROR(INDEX($J$9:$J$96,MATCH(E69,$A$9:$A$96,0)),0),IFERROR(INDEX($J$9:$J$96,MATCH(F69,$A$9:$A$96,0)),0),IFERROR(INDEX($J$9:$J$96,MATCH(G69,$A$9:$A$96,0)),0),IFERROR(INDEX($J$9:$J$96,MATCH(H69,$A$9:$A$96,0)),0)),1))</f>
        <v>46364</v>
      </c>
      <c r="J69" s="18" t="n">
        <f aca="false">com.sun.star.sheet.addin.Analysis.getWorkday(I69,D69-1)</f>
        <v>46366</v>
      </c>
      <c r="K69" s="19" t="n">
        <v>0</v>
      </c>
      <c r="L69" s="17" t="s">
        <v>69</v>
      </c>
      <c r="M69" s="20"/>
      <c r="N69" s="21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customFormat="false" ht="15" hidden="false" customHeight="false" outlineLevel="0" collapsed="false">
      <c r="A70" s="15" t="s">
        <v>152</v>
      </c>
      <c r="B70" s="15" t="s">
        <v>8</v>
      </c>
      <c r="C70" s="16" t="s">
        <v>153</v>
      </c>
      <c r="D70" s="17" t="n">
        <v>4</v>
      </c>
      <c r="E70" s="17" t="s">
        <v>150</v>
      </c>
      <c r="F70" s="17" t="s">
        <v>109</v>
      </c>
      <c r="G70" s="17"/>
      <c r="H70" s="17"/>
      <c r="I70" s="18" t="n">
        <f aca="false">MAX($D$3,com.sun.star.sheet.addin.Analysis.getWorkday(MAX(IFERROR(INDEX($J$9:$J$96,MATCH(E70,$A$9:$A$96,0)),0),IFERROR(INDEX($J$9:$J$96,MATCH(F70,$A$9:$A$96,0)),0),IFERROR(INDEX($J$9:$J$96,MATCH(G70,$A$9:$A$96,0)),0),IFERROR(INDEX($J$9:$J$96,MATCH(H70,$A$9:$A$96,0)),0)),1))</f>
        <v>46367</v>
      </c>
      <c r="J70" s="18" t="n">
        <f aca="false">com.sun.star.sheet.addin.Analysis.getWorkday(I70,D70-1)</f>
        <v>46372</v>
      </c>
      <c r="K70" s="19" t="n">
        <v>0</v>
      </c>
      <c r="L70" s="17" t="s">
        <v>69</v>
      </c>
      <c r="M70" s="20"/>
      <c r="N70" s="21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customFormat="false" ht="15" hidden="false" customHeight="false" outlineLevel="0" collapsed="false">
      <c r="A71" s="15" t="s">
        <v>154</v>
      </c>
      <c r="B71" s="15" t="s">
        <v>8</v>
      </c>
      <c r="C71" s="16" t="s">
        <v>155</v>
      </c>
      <c r="D71" s="17" t="n">
        <v>4</v>
      </c>
      <c r="E71" s="17" t="s">
        <v>150</v>
      </c>
      <c r="F71" s="17"/>
      <c r="G71" s="17"/>
      <c r="H71" s="17"/>
      <c r="I71" s="18" t="n">
        <f aca="false">MAX($D$3,com.sun.star.sheet.addin.Analysis.getWorkday(MAX(IFERROR(INDEX($J$9:$J$96,MATCH(E71,$A$9:$A$96,0)),0),IFERROR(INDEX($J$9:$J$96,MATCH(F71,$A$9:$A$96,0)),0),IFERROR(INDEX($J$9:$J$96,MATCH(G71,$A$9:$A$96,0)),0),IFERROR(INDEX($J$9:$J$96,MATCH(H71,$A$9:$A$96,0)),0)),1))</f>
        <v>46367</v>
      </c>
      <c r="J71" s="18" t="n">
        <f aca="false">com.sun.star.sheet.addin.Analysis.getWorkday(I71,D71-1)</f>
        <v>46372</v>
      </c>
      <c r="K71" s="19" t="n">
        <v>0</v>
      </c>
      <c r="L71" s="17" t="s">
        <v>69</v>
      </c>
      <c r="M71" s="20"/>
      <c r="N71" s="21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customFormat="false" ht="15" hidden="false" customHeight="false" outlineLevel="0" collapsed="false">
      <c r="A72" s="15" t="s">
        <v>156</v>
      </c>
      <c r="B72" s="15" t="s">
        <v>8</v>
      </c>
      <c r="C72" s="16" t="s">
        <v>157</v>
      </c>
      <c r="D72" s="17" t="n">
        <v>2</v>
      </c>
      <c r="E72" s="17" t="s">
        <v>152</v>
      </c>
      <c r="F72" s="17"/>
      <c r="G72" s="17"/>
      <c r="H72" s="17"/>
      <c r="I72" s="18" t="n">
        <f aca="false">MAX($D$3,com.sun.star.sheet.addin.Analysis.getWorkday(MAX(IFERROR(INDEX($J$9:$J$96,MATCH(E72,$A$9:$A$96,0)),0),IFERROR(INDEX($J$9:$J$96,MATCH(F72,$A$9:$A$96,0)),0),IFERROR(INDEX($J$9:$J$96,MATCH(G72,$A$9:$A$96,0)),0),IFERROR(INDEX($J$9:$J$96,MATCH(H72,$A$9:$A$96,0)),0)),1))</f>
        <v>46373</v>
      </c>
      <c r="J72" s="18" t="n">
        <f aca="false">com.sun.star.sheet.addin.Analysis.getWorkday(I72,D72-1)</f>
        <v>46374</v>
      </c>
      <c r="K72" s="19" t="n">
        <v>0</v>
      </c>
      <c r="L72" s="17" t="s">
        <v>69</v>
      </c>
      <c r="M72" s="20"/>
      <c r="N72" s="21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customFormat="false" ht="15" hidden="false" customHeight="false" outlineLevel="0" collapsed="false">
      <c r="A73" s="15" t="s">
        <v>158</v>
      </c>
      <c r="B73" s="15" t="s">
        <v>8</v>
      </c>
      <c r="C73" s="16" t="s">
        <v>159</v>
      </c>
      <c r="D73" s="17" t="n">
        <v>3</v>
      </c>
      <c r="E73" s="17" t="s">
        <v>154</v>
      </c>
      <c r="F73" s="17" t="s">
        <v>156</v>
      </c>
      <c r="G73" s="17"/>
      <c r="H73" s="17"/>
      <c r="I73" s="18" t="n">
        <f aca="false">MAX($D$3,com.sun.star.sheet.addin.Analysis.getWorkday(MAX(IFERROR(INDEX($J$9:$J$96,MATCH(E73,$A$9:$A$96,0)),0),IFERROR(INDEX($J$9:$J$96,MATCH(F73,$A$9:$A$96,0)),0),IFERROR(INDEX($J$9:$J$96,MATCH(G73,$A$9:$A$96,0)),0),IFERROR(INDEX($J$9:$J$96,MATCH(H73,$A$9:$A$96,0)),0)),1))</f>
        <v>46377</v>
      </c>
      <c r="J73" s="18" t="n">
        <f aca="false">com.sun.star.sheet.addin.Analysis.getWorkday(I73,D73-1)</f>
        <v>46379</v>
      </c>
      <c r="K73" s="19" t="n">
        <v>0</v>
      </c>
      <c r="L73" s="17" t="s">
        <v>69</v>
      </c>
      <c r="M73" s="20"/>
      <c r="N73" s="21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customFormat="false" ht="15" hidden="false" customHeight="false" outlineLevel="0" collapsed="false">
      <c r="A74" s="22" t="s">
        <v>160</v>
      </c>
      <c r="B74" s="22" t="s">
        <v>38</v>
      </c>
      <c r="C74" s="23" t="s">
        <v>161</v>
      </c>
      <c r="D74" s="22" t="n">
        <v>0</v>
      </c>
      <c r="E74" s="17" t="s">
        <v>158</v>
      </c>
      <c r="F74" s="17"/>
      <c r="G74" s="17"/>
      <c r="H74" s="17"/>
      <c r="I74" s="24" t="n">
        <f aca="false">MAX($D$3,MAX(IFERROR(INDEX($J$9:$J$96,MATCH(E74,$A$9:$A$96,0)),0),IFERROR(INDEX($J$9:$J$96,MATCH(F74,$A$9:$A$96,0)),0),IFERROR(INDEX($J$9:$J$96,MATCH(G74,$A$9:$A$96,0)),0),IFERROR(INDEX($J$9:$J$96,MATCH(H74,$A$9:$A$96,0)),0)))</f>
        <v>46379</v>
      </c>
      <c r="J74" s="24" t="n">
        <f aca="false">I74</f>
        <v>46379</v>
      </c>
      <c r="K74" s="25"/>
      <c r="L74" s="22"/>
      <c r="M74" s="26"/>
      <c r="N74" s="26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customFormat="false" ht="15" hidden="false" customHeight="false" outlineLevel="0" collapsed="false">
      <c r="A75" s="10" t="s">
        <v>162</v>
      </c>
      <c r="B75" s="10" t="s">
        <v>21</v>
      </c>
      <c r="C75" s="11" t="s">
        <v>163</v>
      </c>
      <c r="D75" s="10" t="n">
        <f aca="false">NETWORKDAYS(I75,J75)</f>
        <v>34</v>
      </c>
      <c r="E75" s="10"/>
      <c r="F75" s="10"/>
      <c r="G75" s="10"/>
      <c r="H75" s="10"/>
      <c r="I75" s="12" t="n">
        <f aca="false">MIN(I76:I88)</f>
        <v>46380</v>
      </c>
      <c r="J75" s="12" t="n">
        <f aca="false">MAX(J76:J88)</f>
        <v>46427</v>
      </c>
      <c r="K75" s="13" t="n">
        <f aca="false">IFERROR(SUMPRODUCT(($B76:$B88="Tâche")*$D76:$D88*$K76:$K88)/SUMPRODUCT(($B76:$B88="Tâche")*$D76:$D88),0)</f>
        <v>0</v>
      </c>
      <c r="L75" s="10" t="str">
        <f aca="false">IF(K75&gt;=1,"Terminé",IF(K75&gt;0,"En cours","À faire"))</f>
        <v>À faire</v>
      </c>
      <c r="M75" s="11"/>
      <c r="N75" s="11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customFormat="false" ht="15" hidden="false" customHeight="false" outlineLevel="0" collapsed="false">
      <c r="A76" s="15" t="s">
        <v>164</v>
      </c>
      <c r="B76" s="15" t="s">
        <v>8</v>
      </c>
      <c r="C76" s="16" t="s">
        <v>165</v>
      </c>
      <c r="D76" s="17" t="n">
        <v>5</v>
      </c>
      <c r="E76" s="17" t="s">
        <v>160</v>
      </c>
      <c r="F76" s="17"/>
      <c r="G76" s="17"/>
      <c r="H76" s="17"/>
      <c r="I76" s="18" t="n">
        <f aca="false">MAX($D$3,com.sun.star.sheet.addin.Analysis.getWorkday(MAX(IFERROR(INDEX($J$9:$J$96,MATCH(E76,$A$9:$A$96,0)),0),IFERROR(INDEX($J$9:$J$96,MATCH(F76,$A$9:$A$96,0)),0),IFERROR(INDEX($J$9:$J$96,MATCH(G76,$A$9:$A$96,0)),0),IFERROR(INDEX($J$9:$J$96,MATCH(H76,$A$9:$A$96,0)),0)),1))</f>
        <v>46380</v>
      </c>
      <c r="J76" s="18" t="n">
        <f aca="false">com.sun.star.sheet.addin.Analysis.getWorkday(I76,D76-1)</f>
        <v>46386</v>
      </c>
      <c r="K76" s="19" t="n">
        <v>0</v>
      </c>
      <c r="L76" s="17" t="s">
        <v>69</v>
      </c>
      <c r="M76" s="20"/>
      <c r="N76" s="21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customFormat="false" ht="15" hidden="false" customHeight="false" outlineLevel="0" collapsed="false">
      <c r="A77" s="15" t="s">
        <v>166</v>
      </c>
      <c r="B77" s="15" t="s">
        <v>8</v>
      </c>
      <c r="C77" s="16" t="s">
        <v>167</v>
      </c>
      <c r="D77" s="17" t="n">
        <v>3</v>
      </c>
      <c r="E77" s="17" t="s">
        <v>164</v>
      </c>
      <c r="F77" s="17"/>
      <c r="G77" s="17"/>
      <c r="H77" s="17"/>
      <c r="I77" s="18" t="n">
        <f aca="false">MAX($D$3,com.sun.star.sheet.addin.Analysis.getWorkday(MAX(IFERROR(INDEX($J$9:$J$96,MATCH(E77,$A$9:$A$96,0)),0),IFERROR(INDEX($J$9:$J$96,MATCH(F77,$A$9:$A$96,0)),0),IFERROR(INDEX($J$9:$J$96,MATCH(G77,$A$9:$A$96,0)),0),IFERROR(INDEX($J$9:$J$96,MATCH(H77,$A$9:$A$96,0)),0)),1))</f>
        <v>46387</v>
      </c>
      <c r="J77" s="18" t="n">
        <f aca="false">com.sun.star.sheet.addin.Analysis.getWorkday(I77,D77-1)</f>
        <v>46391</v>
      </c>
      <c r="K77" s="19" t="n">
        <v>0</v>
      </c>
      <c r="L77" s="17" t="s">
        <v>69</v>
      </c>
      <c r="M77" s="20"/>
      <c r="N77" s="21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customFormat="false" ht="15" hidden="false" customHeight="false" outlineLevel="0" collapsed="false">
      <c r="A78" s="15" t="s">
        <v>168</v>
      </c>
      <c r="B78" s="15" t="s">
        <v>8</v>
      </c>
      <c r="C78" s="16" t="s">
        <v>169</v>
      </c>
      <c r="D78" s="17" t="n">
        <v>7</v>
      </c>
      <c r="E78" s="17" t="s">
        <v>164</v>
      </c>
      <c r="F78" s="17"/>
      <c r="G78" s="17"/>
      <c r="H78" s="17"/>
      <c r="I78" s="18" t="n">
        <f aca="false">MAX($D$3,com.sun.star.sheet.addin.Analysis.getWorkday(MAX(IFERROR(INDEX($J$9:$J$96,MATCH(E78,$A$9:$A$96,0)),0),IFERROR(INDEX($J$9:$J$96,MATCH(F78,$A$9:$A$96,0)),0),IFERROR(INDEX($J$9:$J$96,MATCH(G78,$A$9:$A$96,0)),0),IFERROR(INDEX($J$9:$J$96,MATCH(H78,$A$9:$A$96,0)),0)),1))</f>
        <v>46387</v>
      </c>
      <c r="J78" s="18" t="n">
        <f aca="false">com.sun.star.sheet.addin.Analysis.getWorkday(I78,D78-1)</f>
        <v>46395</v>
      </c>
      <c r="K78" s="19" t="n">
        <v>0</v>
      </c>
      <c r="L78" s="17" t="s">
        <v>69</v>
      </c>
      <c r="M78" s="20"/>
      <c r="N78" s="21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customFormat="false" ht="15" hidden="false" customHeight="false" outlineLevel="0" collapsed="false">
      <c r="A79" s="15" t="s">
        <v>170</v>
      </c>
      <c r="B79" s="15" t="s">
        <v>8</v>
      </c>
      <c r="C79" s="16" t="s">
        <v>171</v>
      </c>
      <c r="D79" s="17" t="n">
        <v>2</v>
      </c>
      <c r="E79" s="17" t="s">
        <v>168</v>
      </c>
      <c r="F79" s="17"/>
      <c r="G79" s="17"/>
      <c r="H79" s="17"/>
      <c r="I79" s="18" t="n">
        <f aca="false">MAX($D$3,com.sun.star.sheet.addin.Analysis.getWorkday(MAX(IFERROR(INDEX($J$9:$J$96,MATCH(E79,$A$9:$A$96,0)),0),IFERROR(INDEX($J$9:$J$96,MATCH(F79,$A$9:$A$96,0)),0),IFERROR(INDEX($J$9:$J$96,MATCH(G79,$A$9:$A$96,0)),0),IFERROR(INDEX($J$9:$J$96,MATCH(H79,$A$9:$A$96,0)),0)),1))</f>
        <v>46398</v>
      </c>
      <c r="J79" s="18" t="n">
        <f aca="false">com.sun.star.sheet.addin.Analysis.getWorkday(I79,D79-1)</f>
        <v>46399</v>
      </c>
      <c r="K79" s="19" t="n">
        <v>0</v>
      </c>
      <c r="L79" s="17" t="s">
        <v>69</v>
      </c>
      <c r="M79" s="20"/>
      <c r="N79" s="21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customFormat="false" ht="15" hidden="false" customHeight="false" outlineLevel="0" collapsed="false">
      <c r="A80" s="15" t="s">
        <v>172</v>
      </c>
      <c r="B80" s="15" t="s">
        <v>8</v>
      </c>
      <c r="C80" s="16" t="s">
        <v>173</v>
      </c>
      <c r="D80" s="17" t="n">
        <v>6</v>
      </c>
      <c r="E80" s="17" t="s">
        <v>168</v>
      </c>
      <c r="F80" s="17" t="s">
        <v>67</v>
      </c>
      <c r="G80" s="17"/>
      <c r="H80" s="17"/>
      <c r="I80" s="18" t="n">
        <f aca="false">MAX($D$3,com.sun.star.sheet.addin.Analysis.getWorkday(MAX(IFERROR(INDEX($J$9:$J$96,MATCH(E80,$A$9:$A$96,0)),0),IFERROR(INDEX($J$9:$J$96,MATCH(F80,$A$9:$A$96,0)),0),IFERROR(INDEX($J$9:$J$96,MATCH(G80,$A$9:$A$96,0)),0),IFERROR(INDEX($J$9:$J$96,MATCH(H80,$A$9:$A$96,0)),0)),1))</f>
        <v>46398</v>
      </c>
      <c r="J80" s="18" t="n">
        <f aca="false">com.sun.star.sheet.addin.Analysis.getWorkday(I80,D80-1)</f>
        <v>46405</v>
      </c>
      <c r="K80" s="19" t="n">
        <v>0</v>
      </c>
      <c r="L80" s="17" t="s">
        <v>69</v>
      </c>
      <c r="M80" s="20"/>
      <c r="N80" s="21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customFormat="false" ht="15" hidden="false" customHeight="false" outlineLevel="0" collapsed="false">
      <c r="A81" s="15" t="s">
        <v>174</v>
      </c>
      <c r="B81" s="15" t="s">
        <v>8</v>
      </c>
      <c r="C81" s="16" t="s">
        <v>175</v>
      </c>
      <c r="D81" s="17" t="n">
        <v>2</v>
      </c>
      <c r="E81" s="17" t="s">
        <v>172</v>
      </c>
      <c r="F81" s="17"/>
      <c r="G81" s="17"/>
      <c r="H81" s="17"/>
      <c r="I81" s="18" t="n">
        <f aca="false">MAX($D$3,com.sun.star.sheet.addin.Analysis.getWorkday(MAX(IFERROR(INDEX($J$9:$J$96,MATCH(E81,$A$9:$A$96,0)),0),IFERROR(INDEX($J$9:$J$96,MATCH(F81,$A$9:$A$96,0)),0),IFERROR(INDEX($J$9:$J$96,MATCH(G81,$A$9:$A$96,0)),0),IFERROR(INDEX($J$9:$J$96,MATCH(H81,$A$9:$A$96,0)),0)),1))</f>
        <v>46406</v>
      </c>
      <c r="J81" s="18" t="n">
        <f aca="false">com.sun.star.sheet.addin.Analysis.getWorkday(I81,D81-1)</f>
        <v>46407</v>
      </c>
      <c r="K81" s="19" t="n">
        <v>0</v>
      </c>
      <c r="L81" s="17" t="s">
        <v>69</v>
      </c>
      <c r="M81" s="20"/>
      <c r="N81" s="21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customFormat="false" ht="15" hidden="false" customHeight="false" outlineLevel="0" collapsed="false">
      <c r="A82" s="15" t="s">
        <v>176</v>
      </c>
      <c r="B82" s="15" t="s">
        <v>8</v>
      </c>
      <c r="C82" s="16" t="s">
        <v>177</v>
      </c>
      <c r="D82" s="17" t="n">
        <v>4</v>
      </c>
      <c r="E82" s="17" t="s">
        <v>174</v>
      </c>
      <c r="F82" s="17" t="s">
        <v>166</v>
      </c>
      <c r="G82" s="17" t="s">
        <v>170</v>
      </c>
      <c r="H82" s="17"/>
      <c r="I82" s="18" t="n">
        <f aca="false">MAX($D$3,com.sun.star.sheet.addin.Analysis.getWorkday(MAX(IFERROR(INDEX($J$9:$J$96,MATCH(E82,$A$9:$A$96,0)),0),IFERROR(INDEX($J$9:$J$96,MATCH(F82,$A$9:$A$96,0)),0),IFERROR(INDEX($J$9:$J$96,MATCH(G82,$A$9:$A$96,0)),0),IFERROR(INDEX($J$9:$J$96,MATCH(H82,$A$9:$A$96,0)),0)),1))</f>
        <v>46408</v>
      </c>
      <c r="J82" s="18" t="n">
        <f aca="false">com.sun.star.sheet.addin.Analysis.getWorkday(I82,D82-1)</f>
        <v>46413</v>
      </c>
      <c r="K82" s="19" t="n">
        <v>0</v>
      </c>
      <c r="L82" s="17" t="s">
        <v>69</v>
      </c>
      <c r="M82" s="20"/>
      <c r="N82" s="21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customFormat="false" ht="15" hidden="false" customHeight="false" outlineLevel="0" collapsed="false">
      <c r="A83" s="15" t="s">
        <v>178</v>
      </c>
      <c r="B83" s="15" t="s">
        <v>8</v>
      </c>
      <c r="C83" s="16" t="s">
        <v>179</v>
      </c>
      <c r="D83" s="17" t="n">
        <v>3</v>
      </c>
      <c r="E83" s="17" t="s">
        <v>176</v>
      </c>
      <c r="F83" s="17"/>
      <c r="G83" s="17"/>
      <c r="H83" s="17"/>
      <c r="I83" s="18" t="n">
        <f aca="false">MAX($D$3,com.sun.star.sheet.addin.Analysis.getWorkday(MAX(IFERROR(INDEX($J$9:$J$96,MATCH(E83,$A$9:$A$96,0)),0),IFERROR(INDEX($J$9:$J$96,MATCH(F83,$A$9:$A$96,0)),0),IFERROR(INDEX($J$9:$J$96,MATCH(G83,$A$9:$A$96,0)),0),IFERROR(INDEX($J$9:$J$96,MATCH(H83,$A$9:$A$96,0)),0)),1))</f>
        <v>46414</v>
      </c>
      <c r="J83" s="18" t="n">
        <f aca="false">com.sun.star.sheet.addin.Analysis.getWorkday(I83,D83-1)</f>
        <v>46416</v>
      </c>
      <c r="K83" s="19" t="n">
        <v>0</v>
      </c>
      <c r="L83" s="17" t="s">
        <v>69</v>
      </c>
      <c r="M83" s="20"/>
      <c r="N83" s="21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customFormat="false" ht="15" hidden="false" customHeight="false" outlineLevel="0" collapsed="false">
      <c r="A84" s="15" t="s">
        <v>180</v>
      </c>
      <c r="B84" s="15" t="s">
        <v>8</v>
      </c>
      <c r="C84" s="16" t="s">
        <v>181</v>
      </c>
      <c r="D84" s="17" t="n">
        <v>3</v>
      </c>
      <c r="E84" s="17" t="s">
        <v>176</v>
      </c>
      <c r="F84" s="17"/>
      <c r="G84" s="17"/>
      <c r="H84" s="17"/>
      <c r="I84" s="18" t="n">
        <f aca="false">MAX($D$3,com.sun.star.sheet.addin.Analysis.getWorkday(MAX(IFERROR(INDEX($J$9:$J$96,MATCH(E84,$A$9:$A$96,0)),0),IFERROR(INDEX($J$9:$J$96,MATCH(F84,$A$9:$A$96,0)),0),IFERROR(INDEX($J$9:$J$96,MATCH(G84,$A$9:$A$96,0)),0),IFERROR(INDEX($J$9:$J$96,MATCH(H84,$A$9:$A$96,0)),0)),1))</f>
        <v>46414</v>
      </c>
      <c r="J84" s="18" t="n">
        <f aca="false">com.sun.star.sheet.addin.Analysis.getWorkday(I84,D84-1)</f>
        <v>46416</v>
      </c>
      <c r="K84" s="19" t="n">
        <v>0</v>
      </c>
      <c r="L84" s="17" t="s">
        <v>69</v>
      </c>
      <c r="M84" s="20"/>
      <c r="N84" s="21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customFormat="false" ht="15" hidden="false" customHeight="false" outlineLevel="0" collapsed="false">
      <c r="A85" s="15" t="s">
        <v>182</v>
      </c>
      <c r="B85" s="15" t="s">
        <v>8</v>
      </c>
      <c r="C85" s="16" t="s">
        <v>183</v>
      </c>
      <c r="D85" s="17" t="n">
        <v>4</v>
      </c>
      <c r="E85" s="17" t="s">
        <v>176</v>
      </c>
      <c r="F85" s="17"/>
      <c r="G85" s="17"/>
      <c r="H85" s="17"/>
      <c r="I85" s="18" t="n">
        <f aca="false">MAX($D$3,com.sun.star.sheet.addin.Analysis.getWorkday(MAX(IFERROR(INDEX($J$9:$J$96,MATCH(E85,$A$9:$A$96,0)),0),IFERROR(INDEX($J$9:$J$96,MATCH(F85,$A$9:$A$96,0)),0),IFERROR(INDEX($J$9:$J$96,MATCH(G85,$A$9:$A$96,0)),0),IFERROR(INDEX($J$9:$J$96,MATCH(H85,$A$9:$A$96,0)),0)),1))</f>
        <v>46414</v>
      </c>
      <c r="J85" s="18" t="n">
        <f aca="false">com.sun.star.sheet.addin.Analysis.getWorkday(I85,D85-1)</f>
        <v>46419</v>
      </c>
      <c r="K85" s="19" t="n">
        <v>0</v>
      </c>
      <c r="L85" s="17" t="s">
        <v>69</v>
      </c>
      <c r="M85" s="20"/>
      <c r="N85" s="21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customFormat="false" ht="15" hidden="false" customHeight="false" outlineLevel="0" collapsed="false">
      <c r="A86" s="15" t="s">
        <v>184</v>
      </c>
      <c r="B86" s="15" t="s">
        <v>8</v>
      </c>
      <c r="C86" s="16" t="s">
        <v>185</v>
      </c>
      <c r="D86" s="17" t="n">
        <v>6</v>
      </c>
      <c r="E86" s="17" t="s">
        <v>176</v>
      </c>
      <c r="F86" s="17"/>
      <c r="G86" s="17"/>
      <c r="H86" s="17"/>
      <c r="I86" s="18" t="n">
        <f aca="false">MAX($D$3,com.sun.star.sheet.addin.Analysis.getWorkday(MAX(IFERROR(INDEX($J$9:$J$96,MATCH(E86,$A$9:$A$96,0)),0),IFERROR(INDEX($J$9:$J$96,MATCH(F86,$A$9:$A$96,0)),0),IFERROR(INDEX($J$9:$J$96,MATCH(G86,$A$9:$A$96,0)),0),IFERROR(INDEX($J$9:$J$96,MATCH(H86,$A$9:$A$96,0)),0)),1))</f>
        <v>46414</v>
      </c>
      <c r="J86" s="18" t="n">
        <f aca="false">com.sun.star.sheet.addin.Analysis.getWorkday(I86,D86-1)</f>
        <v>46421</v>
      </c>
      <c r="K86" s="19" t="n">
        <v>0</v>
      </c>
      <c r="L86" s="17" t="s">
        <v>69</v>
      </c>
      <c r="M86" s="20"/>
      <c r="N86" s="21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customFormat="false" ht="15" hidden="false" customHeight="false" outlineLevel="0" collapsed="false">
      <c r="A87" s="15" t="s">
        <v>186</v>
      </c>
      <c r="B87" s="15" t="s">
        <v>8</v>
      </c>
      <c r="C87" s="16" t="s">
        <v>187</v>
      </c>
      <c r="D87" s="17" t="n">
        <v>4</v>
      </c>
      <c r="E87" s="17" t="s">
        <v>178</v>
      </c>
      <c r="F87" s="17" t="s">
        <v>180</v>
      </c>
      <c r="G87" s="17" t="s">
        <v>182</v>
      </c>
      <c r="H87" s="17" t="s">
        <v>184</v>
      </c>
      <c r="I87" s="18" t="n">
        <f aca="false">MAX($D$3,com.sun.star.sheet.addin.Analysis.getWorkday(MAX(IFERROR(INDEX($J$9:$J$96,MATCH(E87,$A$9:$A$96,0)),0),IFERROR(INDEX($J$9:$J$96,MATCH(F87,$A$9:$A$96,0)),0),IFERROR(INDEX($J$9:$J$96,MATCH(G87,$A$9:$A$96,0)),0),IFERROR(INDEX($J$9:$J$96,MATCH(H87,$A$9:$A$96,0)),0)),1))</f>
        <v>46422</v>
      </c>
      <c r="J87" s="18" t="n">
        <f aca="false">com.sun.star.sheet.addin.Analysis.getWorkday(I87,D87-1)</f>
        <v>46427</v>
      </c>
      <c r="K87" s="19" t="n">
        <v>0</v>
      </c>
      <c r="L87" s="17" t="s">
        <v>69</v>
      </c>
      <c r="M87" s="20"/>
      <c r="N87" s="21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customFormat="false" ht="15" hidden="false" customHeight="false" outlineLevel="0" collapsed="false">
      <c r="A88" s="22" t="s">
        <v>188</v>
      </c>
      <c r="B88" s="22" t="s">
        <v>38</v>
      </c>
      <c r="C88" s="23" t="s">
        <v>189</v>
      </c>
      <c r="D88" s="22" t="n">
        <v>0</v>
      </c>
      <c r="E88" s="17" t="s">
        <v>186</v>
      </c>
      <c r="F88" s="17"/>
      <c r="G88" s="17"/>
      <c r="H88" s="17"/>
      <c r="I88" s="24" t="n">
        <f aca="false">MAX($D$3,MAX(IFERROR(INDEX($J$9:$J$96,MATCH(E88,$A$9:$A$96,0)),0),IFERROR(INDEX($J$9:$J$96,MATCH(F88,$A$9:$A$96,0)),0),IFERROR(INDEX($J$9:$J$96,MATCH(G88,$A$9:$A$96,0)),0),IFERROR(INDEX($J$9:$J$96,MATCH(H88,$A$9:$A$96,0)),0)))</f>
        <v>46427</v>
      </c>
      <c r="J88" s="24" t="n">
        <f aca="false">I88</f>
        <v>46427</v>
      </c>
      <c r="K88" s="25"/>
      <c r="L88" s="22"/>
      <c r="M88" s="26"/>
      <c r="N88" s="26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customFormat="false" ht="15" hidden="false" customHeight="false" outlineLevel="0" collapsed="false">
      <c r="A89" s="10" t="s">
        <v>190</v>
      </c>
      <c r="B89" s="10" t="s">
        <v>21</v>
      </c>
      <c r="C89" s="11" t="s">
        <v>191</v>
      </c>
      <c r="D89" s="10" t="n">
        <f aca="false">NETWORKDAYS(I89,J89)</f>
        <v>58</v>
      </c>
      <c r="E89" s="10"/>
      <c r="F89" s="10"/>
      <c r="G89" s="10"/>
      <c r="H89" s="10"/>
      <c r="I89" s="12" t="n">
        <f aca="false">MIN(I90:I96)</f>
        <v>46364</v>
      </c>
      <c r="J89" s="12" t="n">
        <f aca="false">MAX(J90:J96)</f>
        <v>46443</v>
      </c>
      <c r="K89" s="13" t="n">
        <f aca="false">IFERROR(SUMPRODUCT(($B90:$B96="Tâche")*$D90:$D96*$K90:$K96)/SUMPRODUCT(($B90:$B96="Tâche")*$D90:$D96),0)</f>
        <v>0</v>
      </c>
      <c r="L89" s="10" t="str">
        <f aca="false">IF(K89&gt;=1,"Terminé",IF(K89&gt;0,"En cours","À faire"))</f>
        <v>À faire</v>
      </c>
      <c r="M89" s="11"/>
      <c r="N89" s="11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customFormat="false" ht="15" hidden="false" customHeight="false" outlineLevel="0" collapsed="false">
      <c r="A90" s="15" t="s">
        <v>192</v>
      </c>
      <c r="B90" s="15" t="s">
        <v>8</v>
      </c>
      <c r="C90" s="16" t="s">
        <v>193</v>
      </c>
      <c r="D90" s="17" t="n">
        <v>4</v>
      </c>
      <c r="E90" s="17" t="s">
        <v>188</v>
      </c>
      <c r="F90" s="17"/>
      <c r="G90" s="17"/>
      <c r="H90" s="17"/>
      <c r="I90" s="18" t="n">
        <f aca="false">MAX($D$3,com.sun.star.sheet.addin.Analysis.getWorkday(MAX(IFERROR(INDEX($J$9:$J$96,MATCH(E90,$A$9:$A$96,0)),0),IFERROR(INDEX($J$9:$J$96,MATCH(F90,$A$9:$A$96,0)),0),IFERROR(INDEX($J$9:$J$96,MATCH(G90,$A$9:$A$96,0)),0),IFERROR(INDEX($J$9:$J$96,MATCH(H90,$A$9:$A$96,0)),0)),1))</f>
        <v>46428</v>
      </c>
      <c r="J90" s="18" t="n">
        <f aca="false">com.sun.star.sheet.addin.Analysis.getWorkday(I90,D90-1)</f>
        <v>46433</v>
      </c>
      <c r="K90" s="19" t="n">
        <v>0</v>
      </c>
      <c r="L90" s="17" t="s">
        <v>69</v>
      </c>
      <c r="M90" s="20"/>
      <c r="N90" s="21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customFormat="false" ht="15" hidden="false" customHeight="false" outlineLevel="0" collapsed="false">
      <c r="A91" s="15" t="s">
        <v>194</v>
      </c>
      <c r="B91" s="15" t="s">
        <v>8</v>
      </c>
      <c r="C91" s="16" t="s">
        <v>195</v>
      </c>
      <c r="D91" s="17" t="n">
        <v>3</v>
      </c>
      <c r="E91" s="17" t="s">
        <v>141</v>
      </c>
      <c r="F91" s="17"/>
      <c r="G91" s="17"/>
      <c r="H91" s="17"/>
      <c r="I91" s="18" t="n">
        <f aca="false">MAX($D$3,com.sun.star.sheet.addin.Analysis.getWorkday(MAX(IFERROR(INDEX($J$9:$J$96,MATCH(E91,$A$9:$A$96,0)),0),IFERROR(INDEX($J$9:$J$96,MATCH(F91,$A$9:$A$96,0)),0),IFERROR(INDEX($J$9:$J$96,MATCH(G91,$A$9:$A$96,0)),0),IFERROR(INDEX($J$9:$J$96,MATCH(H91,$A$9:$A$96,0)),0)),1))</f>
        <v>46364</v>
      </c>
      <c r="J91" s="18" t="n">
        <f aca="false">com.sun.star.sheet.addin.Analysis.getWorkday(I91,D91-1)</f>
        <v>46366</v>
      </c>
      <c r="K91" s="19" t="n">
        <v>0</v>
      </c>
      <c r="L91" s="17" t="s">
        <v>69</v>
      </c>
      <c r="M91" s="20"/>
      <c r="N91" s="21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customFormat="false" ht="15" hidden="false" customHeight="false" outlineLevel="0" collapsed="false">
      <c r="A92" s="15" t="s">
        <v>196</v>
      </c>
      <c r="B92" s="15" t="s">
        <v>8</v>
      </c>
      <c r="C92" s="16" t="s">
        <v>197</v>
      </c>
      <c r="D92" s="17" t="n">
        <v>3</v>
      </c>
      <c r="E92" s="17" t="s">
        <v>141</v>
      </c>
      <c r="F92" s="17"/>
      <c r="G92" s="17"/>
      <c r="H92" s="17"/>
      <c r="I92" s="18" t="n">
        <f aca="false">MAX($D$3,com.sun.star.sheet.addin.Analysis.getWorkday(MAX(IFERROR(INDEX($J$9:$J$96,MATCH(E92,$A$9:$A$96,0)),0),IFERROR(INDEX($J$9:$J$96,MATCH(F92,$A$9:$A$96,0)),0),IFERROR(INDEX($J$9:$J$96,MATCH(G92,$A$9:$A$96,0)),0),IFERROR(INDEX($J$9:$J$96,MATCH(H92,$A$9:$A$96,0)),0)),1))</f>
        <v>46364</v>
      </c>
      <c r="J92" s="18" t="n">
        <f aca="false">com.sun.star.sheet.addin.Analysis.getWorkday(I92,D92-1)</f>
        <v>46366</v>
      </c>
      <c r="K92" s="19" t="n">
        <v>0</v>
      </c>
      <c r="L92" s="17" t="s">
        <v>69</v>
      </c>
      <c r="M92" s="20"/>
      <c r="N92" s="21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customFormat="false" ht="15" hidden="false" customHeight="false" outlineLevel="0" collapsed="false">
      <c r="A93" s="15" t="s">
        <v>198</v>
      </c>
      <c r="B93" s="15" t="s">
        <v>8</v>
      </c>
      <c r="C93" s="16" t="s">
        <v>199</v>
      </c>
      <c r="D93" s="17" t="n">
        <v>3</v>
      </c>
      <c r="E93" s="17" t="s">
        <v>188</v>
      </c>
      <c r="F93" s="17"/>
      <c r="G93" s="17"/>
      <c r="H93" s="17"/>
      <c r="I93" s="18" t="n">
        <f aca="false">MAX($D$3,com.sun.star.sheet.addin.Analysis.getWorkday(MAX(IFERROR(INDEX($J$9:$J$96,MATCH(E93,$A$9:$A$96,0)),0),IFERROR(INDEX($J$9:$J$96,MATCH(F93,$A$9:$A$96,0)),0),IFERROR(INDEX($J$9:$J$96,MATCH(G93,$A$9:$A$96,0)),0),IFERROR(INDEX($J$9:$J$96,MATCH(H93,$A$9:$A$96,0)),0)),1))</f>
        <v>46428</v>
      </c>
      <c r="J93" s="18" t="n">
        <f aca="false">com.sun.star.sheet.addin.Analysis.getWorkday(I93,D93-1)</f>
        <v>46430</v>
      </c>
      <c r="K93" s="19" t="n">
        <v>0</v>
      </c>
      <c r="L93" s="17" t="s">
        <v>69</v>
      </c>
      <c r="M93" s="20"/>
      <c r="N93" s="21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customFormat="false" ht="15" hidden="false" customHeight="false" outlineLevel="0" collapsed="false">
      <c r="A94" s="15" t="s">
        <v>200</v>
      </c>
      <c r="B94" s="15" t="s">
        <v>8</v>
      </c>
      <c r="C94" s="16" t="s">
        <v>201</v>
      </c>
      <c r="D94" s="17" t="n">
        <v>4</v>
      </c>
      <c r="E94" s="17" t="s">
        <v>192</v>
      </c>
      <c r="F94" s="17" t="s">
        <v>194</v>
      </c>
      <c r="G94" s="17" t="s">
        <v>196</v>
      </c>
      <c r="H94" s="17" t="s">
        <v>198</v>
      </c>
      <c r="I94" s="18" t="n">
        <f aca="false">MAX($D$3,com.sun.star.sheet.addin.Analysis.getWorkday(MAX(IFERROR(INDEX($J$9:$J$96,MATCH(E94,$A$9:$A$96,0)),0),IFERROR(INDEX($J$9:$J$96,MATCH(F94,$A$9:$A$96,0)),0),IFERROR(INDEX($J$9:$J$96,MATCH(G94,$A$9:$A$96,0)),0),IFERROR(INDEX($J$9:$J$96,MATCH(H94,$A$9:$A$96,0)),0)),1))</f>
        <v>46434</v>
      </c>
      <c r="J94" s="18" t="n">
        <f aca="false">com.sun.star.sheet.addin.Analysis.getWorkday(I94,D94-1)</f>
        <v>46437</v>
      </c>
      <c r="K94" s="19" t="n">
        <v>0</v>
      </c>
      <c r="L94" s="17" t="s">
        <v>69</v>
      </c>
      <c r="M94" s="20"/>
      <c r="N94" s="21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customFormat="false" ht="15" hidden="false" customHeight="false" outlineLevel="0" collapsed="false">
      <c r="A95" s="15" t="s">
        <v>202</v>
      </c>
      <c r="B95" s="15" t="s">
        <v>8</v>
      </c>
      <c r="C95" s="16" t="s">
        <v>203</v>
      </c>
      <c r="D95" s="17" t="n">
        <v>4</v>
      </c>
      <c r="E95" s="17" t="s">
        <v>200</v>
      </c>
      <c r="F95" s="17"/>
      <c r="G95" s="17"/>
      <c r="H95" s="17"/>
      <c r="I95" s="18" t="n">
        <f aca="false">MAX($D$3,com.sun.star.sheet.addin.Analysis.getWorkday(MAX(IFERROR(INDEX($J$9:$J$96,MATCH(E95,$A$9:$A$96,0)),0),IFERROR(INDEX($J$9:$J$96,MATCH(F95,$A$9:$A$96,0)),0),IFERROR(INDEX($J$9:$J$96,MATCH(G95,$A$9:$A$96,0)),0),IFERROR(INDEX($J$9:$J$96,MATCH(H95,$A$9:$A$96,0)),0)),1))</f>
        <v>46440</v>
      </c>
      <c r="J95" s="18" t="n">
        <f aca="false">com.sun.star.sheet.addin.Analysis.getWorkday(I95,D95-1)</f>
        <v>46443</v>
      </c>
      <c r="K95" s="19" t="n">
        <v>0</v>
      </c>
      <c r="L95" s="17" t="s">
        <v>69</v>
      </c>
      <c r="M95" s="20"/>
      <c r="N95" s="21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customFormat="false" ht="15" hidden="false" customHeight="false" outlineLevel="0" collapsed="false">
      <c r="A96" s="22" t="s">
        <v>204</v>
      </c>
      <c r="B96" s="22" t="s">
        <v>38</v>
      </c>
      <c r="C96" s="23" t="s">
        <v>205</v>
      </c>
      <c r="D96" s="22" t="n">
        <v>0</v>
      </c>
      <c r="E96" s="17" t="s">
        <v>200</v>
      </c>
      <c r="F96" s="17" t="s">
        <v>202</v>
      </c>
      <c r="G96" s="17"/>
      <c r="H96" s="17"/>
      <c r="I96" s="24" t="n">
        <f aca="false">MAX($D$3,MAX(IFERROR(INDEX($J$9:$J$96,MATCH(E96,$A$9:$A$96,0)),0),IFERROR(INDEX($J$9:$J$96,MATCH(F96,$A$9:$A$96,0)),0),IFERROR(INDEX($J$9:$J$96,MATCH(G96,$A$9:$A$96,0)),0),IFERROR(INDEX($J$9:$J$96,MATCH(H96,$A$9:$A$96,0)),0)))</f>
        <v>46443</v>
      </c>
      <c r="J96" s="24" t="n">
        <f aca="false">I96</f>
        <v>46443</v>
      </c>
      <c r="K96" s="25"/>
      <c r="L96" s="22"/>
      <c r="M96" s="26"/>
      <c r="N96" s="26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</sheetData>
  <conditionalFormatting sqref="O9:AK96">
    <cfRule type="expression" priority="2" aboveAverage="0" equalAverage="0" bottom="0" percent="0" rank="0" text="" dxfId="0">
      <formula>AND($B9="Phase",AND($I9&lt;=O$8+6,$J9&gt;=O$8))</formula>
    </cfRule>
    <cfRule type="expression" priority="3" aboveAverage="0" equalAverage="0" bottom="0" percent="0" rank="0" text="" dxfId="1">
      <formula>AND($B9="Groupe",AND($I9&lt;=O$8+6,$J9&gt;=O$8))</formula>
    </cfRule>
    <cfRule type="expression" priority="4" aboveAverage="0" equalAverage="0" bottom="0" percent="0" rank="0" text="" dxfId="2">
      <formula>AND($B9="Jalon",AND($I9&lt;=O$8+6,$J9&gt;=O$8))</formula>
    </cfRule>
    <cfRule type="expression" priority="5" aboveAverage="0" equalAverage="0" bottom="0" percent="0" rank="0" text="" dxfId="3">
      <formula>AND($B9="Tâche",$K9&gt;=1,AND($I9&lt;=O$8+6,$J9&gt;=O$8))</formula>
    </cfRule>
    <cfRule type="expression" priority="6" aboveAverage="0" equalAverage="0" bottom="0" percent="0" rank="0" text="" dxfId="4">
      <formula>AND($B9="Tâche",AND($I9&lt;=O$8+6,$J9&gt;=O$8))</formula>
    </cfRule>
  </conditionalFormatting>
  <conditionalFormatting sqref="O8:AK8">
    <cfRule type="expression" priority="7" aboveAverage="0" equalAverage="0" bottom="0" percent="0" rank="0" text="" dxfId="2">
      <formula>AND(TODAY()&gt;=O$8,TODAY()&lt;=O$8+6)</formula>
    </cfRule>
  </conditionalFormatting>
  <dataValidations count="2">
    <dataValidation allowBlank="true" errorStyle="stop" operator="between" showDropDown="false" showErrorMessage="false" showInputMessage="false" sqref="L10:L15 L18:L22 L26:L30 L32:L35 L37:L39 L41:L45 L47:L49 L51:L53 L55:L58 L60:L64 L67:L73 L76:L87 L90:L95" type="list">
      <formula1>"À faire,En cours,Terminé,Bloqué"</formula1>
      <formula2>0</formula2>
    </dataValidation>
    <dataValidation allowBlank="false" errorStyle="stop" operator="between" showDropDown="false" showErrorMessage="false" showInputMessage="false" sqref="K10:K15 K18:K22 K26:K30 K32:K35 K37:K39 K41:K45 K47:K49 K51:K53 K55:K58 K60:K64 K67:K73 K76:K87 K90:K95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41" t="s">
        <v>206</v>
      </c>
    </row>
    <row r="2" customFormat="false" ht="15" hidden="false" customHeight="false" outlineLevel="0" collapsed="false">
      <c r="A2" s="42" t="s">
        <v>207</v>
      </c>
    </row>
    <row r="3" customFormat="false" ht="15" hidden="false" customHeight="false" outlineLevel="0" collapsed="false">
      <c r="A3" s="42" t="s">
        <v>208</v>
      </c>
    </row>
    <row r="4" customFormat="false" ht="15" hidden="false" customHeight="false" outlineLevel="0" collapsed="false">
      <c r="A4" s="42"/>
    </row>
    <row r="5" customFormat="false" ht="15" hidden="false" customHeight="false" outlineLevel="0" collapsed="false">
      <c r="A5" s="41" t="s">
        <v>209</v>
      </c>
    </row>
    <row r="6" customFormat="false" ht="15" hidden="false" customHeight="false" outlineLevel="0" collapsed="false">
      <c r="A6" s="42" t="s">
        <v>210</v>
      </c>
    </row>
    <row r="7" customFormat="false" ht="15" hidden="false" customHeight="false" outlineLevel="0" collapsed="false">
      <c r="A7" s="42" t="s">
        <v>211</v>
      </c>
    </row>
    <row r="8" customFormat="false" ht="15" hidden="false" customHeight="false" outlineLevel="0" collapsed="false">
      <c r="A8" s="42" t="s">
        <v>212</v>
      </c>
    </row>
    <row r="9" customFormat="false" ht="15" hidden="false" customHeight="false" outlineLevel="0" collapsed="false">
      <c r="A9" s="42"/>
    </row>
    <row r="10" customFormat="false" ht="15" hidden="false" customHeight="false" outlineLevel="0" collapsed="false">
      <c r="A10" s="41" t="s">
        <v>213</v>
      </c>
    </row>
    <row r="11" customFormat="false" ht="15" hidden="false" customHeight="false" outlineLevel="0" collapsed="false">
      <c r="A11" s="42" t="s">
        <v>214</v>
      </c>
    </row>
    <row r="12" customFormat="false" ht="23.85" hidden="false" customHeight="false" outlineLevel="0" collapsed="false">
      <c r="A12" s="42" t="s">
        <v>215</v>
      </c>
    </row>
    <row r="13" customFormat="false" ht="15" hidden="false" customHeight="false" outlineLevel="0" collapsed="false">
      <c r="A13" s="42" t="s">
        <v>216</v>
      </c>
    </row>
    <row r="14" customFormat="false" ht="15" hidden="false" customHeight="false" outlineLevel="0" collapsed="false">
      <c r="A14" s="42" t="s">
        <v>217</v>
      </c>
    </row>
    <row r="15" customFormat="false" ht="15" hidden="false" customHeight="false" outlineLevel="0" collapsed="false">
      <c r="A15" s="42"/>
    </row>
    <row r="16" customFormat="false" ht="15" hidden="false" customHeight="false" outlineLevel="0" collapsed="false">
      <c r="A16" s="41" t="s">
        <v>218</v>
      </c>
    </row>
    <row r="17" customFormat="false" ht="15" hidden="false" customHeight="false" outlineLevel="0" collapsed="false">
      <c r="A17" s="42" t="s">
        <v>219</v>
      </c>
    </row>
    <row r="18" customFormat="false" ht="15" hidden="false" customHeight="false" outlineLevel="0" collapsed="false">
      <c r="A18" s="42" t="s">
        <v>220</v>
      </c>
    </row>
    <row r="19" customFormat="false" ht="15" hidden="false" customHeight="false" outlineLevel="0" collapsed="false">
      <c r="A19" s="42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2026-10-01T13:49:24Z</dcterms:created>
  <dc:creator>openpyxl</dc:creator>
  <dc:description/>
  <dc:language>en-US</dc:language>
  <cp:lastModifiedBy/>
  <dcterms:modified xsi:type="dcterms:W3CDTF">2026-10-05T15:30:16Z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